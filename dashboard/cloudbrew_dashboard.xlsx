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ufunbiwilliams/projects/Cloudbrew-Coffee-Sales-/dashboard/"/>
    </mc:Choice>
  </mc:AlternateContent>
  <xr:revisionPtr revIDLastSave="0" documentId="8_{B2A7280E-7883-7540-A61B-C3D4D3C121D4}" xr6:coauthVersionLast="47" xr6:coauthVersionMax="47" xr10:uidLastSave="{00000000-0000-0000-0000-000000000000}"/>
  <bookViews>
    <workbookView xWindow="0" yWindow="600" windowWidth="20900" windowHeight="21000" xr2:uid="{D7C7398D-A9DB-9243-87A4-98BDEFB5DB21}"/>
  </bookViews>
  <sheets>
    <sheet name="Dashboard" sheetId="24" r:id="rId1"/>
    <sheet name="Top_Products" sheetId="2" r:id="rId2"/>
    <sheet name="Top_Customers" sheetId="3" r:id="rId3"/>
    <sheet name="Daily_Revenue" sheetId="5" r:id="rId4"/>
    <sheet name="Category_Revenue" sheetId="7" r:id="rId5"/>
    <sheet name="Customer_Order_Frequency" sheetId="9" r:id="rId6"/>
    <sheet name="Peak_Hours" sheetId="11" r:id="rId7"/>
    <sheet name="product_pairs" sheetId="12" r:id="rId8"/>
  </sheets>
  <definedNames>
    <definedName name="ExternalData_1" localSheetId="4" hidden="1">'Category_Revenue'!$A$1:$B$5</definedName>
    <definedName name="ExternalData_1" localSheetId="5" hidden="1">Customer_Order_Frequency!$A$1:$C$31</definedName>
    <definedName name="ExternalData_1" localSheetId="3" hidden="1">Daily_Revenue!$A$1:$C$26</definedName>
    <definedName name="ExternalData_1" localSheetId="6" hidden="1">Peak_Hours!$A$1:$C$11</definedName>
    <definedName name="ExternalData_1" localSheetId="7" hidden="1">product_pairs!$A$1:$C$41</definedName>
    <definedName name="ExternalData_1" localSheetId="2" hidden="1">Top_Customers!$A$1:$B$11</definedName>
    <definedName name="ExternalData_1" localSheetId="1" hidden="1">Top_Products!$A$1:$B$6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2" l="1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D32633-12E2-6D48-8F07-39DDA6B9B8B0}" keepAlive="1" name="Query - category_revenue" description="Connection to the 'category_revenue' query in the workbook." type="5" refreshedVersion="8" background="1" saveData="1">
    <dbPr connection="Provider=Microsoft.Mashup.OleDb.1;Data Source=$Workbook$;Location=category_revenue;Extended Properties=&quot;&quot;" command="SELECT * FROM [category_revenue]"/>
  </connection>
  <connection id="2" xr16:uid="{2B6557CC-2CDB-3147-9F4A-92C0D0C89C32}" keepAlive="1" name="Query - customer_frequency" description="Connection to the 'customer_frequency' query in the workbook." type="5" refreshedVersion="8" background="1" saveData="1">
    <dbPr connection="Provider=Microsoft.Mashup.OleDb.1;Data Source=$Workbook$;Location=customer_frequency;Extended Properties=&quot;&quot;" command="SELECT * FROM [customer_frequency]"/>
  </connection>
  <connection id="3" xr16:uid="{06BC1B6F-917A-544B-BB05-38B847BCB3B0}" keepAlive="1" name="Query - daily_revenue" description="Connection to the 'daily_revenue' query in the workbook." type="5" refreshedVersion="0" background="1">
    <dbPr connection="Provider=Microsoft.Mashup.OleDb.1;Data Source=$Workbook$;Location=daily_revenue;Extended Properties=&quot;&quot;" command="SELECT * FROM [daily_revenue]"/>
  </connection>
  <connection id="4" xr16:uid="{545EFECF-1E6B-6742-8E1D-064597206B96}" keepAlive="1" name="Query - daily_revenue (2)" description="Connection to the 'daily_revenue (2)' query in the workbook." type="5" refreshedVersion="8" background="1" saveData="1">
    <dbPr connection="Provider=Microsoft.Mashup.OleDb.1;Data Source=$Workbook$;Location=&quot;daily_revenue (2)&quot;;Extended Properties=&quot;&quot;" command="SELECT * FROM [daily_revenue (2)]"/>
  </connection>
  <connection id="5" xr16:uid="{9AE5F8AA-158F-CA4A-A06A-25E24E769311}" keepAlive="1" name="Query - peak_hours" description="Connection to the 'peak_hours' query in the workbook." type="5" refreshedVersion="8" background="1" saveData="1">
    <dbPr connection="Provider=Microsoft.Mashup.OleDb.1;Data Source=$Workbook$;Location=peak_hours;Extended Properties=&quot;&quot;" command="SELECT * FROM [peak_hours]"/>
  </connection>
  <connection id="6" xr16:uid="{D1A81045-DF74-0C4F-BC7A-082FA15C5925}" keepAlive="1" name="Query - product_pairs" description="Connection to the 'product_pairs' query in the workbook." type="5" refreshedVersion="8" background="1" saveData="1">
    <dbPr connection="Provider=Microsoft.Mashup.OleDb.1;Data Source=$Workbook$;Location=product_pairs;Extended Properties=&quot;&quot;" command="SELECT * FROM [product_pairs]"/>
  </connection>
  <connection id="7" xr16:uid="{3BD91B6E-745D-D14B-B29A-C5481F7DAF55}" keepAlive="1" name="Query - top_customers" description="Connection to the 'top_customers' query in the workbook." type="5" refreshedVersion="8" background="1" saveData="1">
    <dbPr connection="Provider=Microsoft.Mashup.OleDb.1;Data Source=$Workbook$;Location=top_customers;Extended Properties=&quot;&quot;" command="SELECT * FROM [top_customers]"/>
  </connection>
  <connection id="8" xr16:uid="{36B664DE-5A90-CA42-B36F-B8293E7FED7C}" keepAlive="1" name="Query - top_products" description="Connection to the 'top_products' query in the workbook." type="5" refreshedVersion="8" background="1" saveData="1">
    <dbPr connection="Provider=Microsoft.Mashup.OleDb.1;Data Source=$Workbook$;Location=top_products;Extended Properties=&quot;&quot;" command="SELECT * FROM [top_products]"/>
  </connection>
</connections>
</file>

<file path=xl/sharedStrings.xml><?xml version="1.0" encoding="utf-8"?>
<sst xmlns="http://schemas.openxmlformats.org/spreadsheetml/2006/main" count="174" uniqueCount="73">
  <si>
    <t>product_name</t>
  </si>
  <si>
    <t>total_revenue</t>
  </si>
  <si>
    <t>Turkey Sandwich</t>
  </si>
  <si>
    <t>Caesar Salad</t>
  </si>
  <si>
    <t>Iced Tea</t>
  </si>
  <si>
    <t>Latte</t>
  </si>
  <si>
    <t>Caramel Macchiato</t>
  </si>
  <si>
    <t>customer_name</t>
  </si>
  <si>
    <t>total_spent</t>
  </si>
  <si>
    <t>Harper Jackson</t>
  </si>
  <si>
    <t>Charlotte Anderson</t>
  </si>
  <si>
    <t>Emma Johnson</t>
  </si>
  <si>
    <t>Mason Rodriguez</t>
  </si>
  <si>
    <t>Liam Smith</t>
  </si>
  <si>
    <t>Olivia Williams</t>
  </si>
  <si>
    <t>Amelia Taylor</t>
  </si>
  <si>
    <t>Noah Brown</t>
  </si>
  <si>
    <t>Evelyn Lee</t>
  </si>
  <si>
    <t>Isabella Hernandez</t>
  </si>
  <si>
    <t>order_date</t>
  </si>
  <si>
    <t>daily_revenue</t>
  </si>
  <si>
    <t>day_of_week</t>
  </si>
  <si>
    <t>Friday</t>
  </si>
  <si>
    <t>Saturday</t>
  </si>
  <si>
    <t>Sunday</t>
  </si>
  <si>
    <t>Monday</t>
  </si>
  <si>
    <t>Tuesday</t>
  </si>
  <si>
    <t>Wednesday</t>
  </si>
  <si>
    <t>Thursday</t>
  </si>
  <si>
    <t>category</t>
  </si>
  <si>
    <t>revenue_amount</t>
  </si>
  <si>
    <t>Coffee</t>
  </si>
  <si>
    <t>Food</t>
  </si>
  <si>
    <t>Pastry</t>
  </si>
  <si>
    <t>Beverage</t>
  </si>
  <si>
    <t>order_count</t>
  </si>
  <si>
    <t>avg_order</t>
  </si>
  <si>
    <t>Ava Jones</t>
  </si>
  <si>
    <t>Benjamin Thomas</t>
  </si>
  <si>
    <t>Ethan Garcia</t>
  </si>
  <si>
    <t>Henry Martin</t>
  </si>
  <si>
    <t>James Wilson</t>
  </si>
  <si>
    <t>Lucas Moore</t>
  </si>
  <si>
    <t>Mia Gonzalez</t>
  </si>
  <si>
    <t>Sophia Martinez</t>
  </si>
  <si>
    <t>William Lopez</t>
  </si>
  <si>
    <t>Abigail Thompson</t>
  </si>
  <si>
    <t>Alexander Perez</t>
  </si>
  <si>
    <t>Avery Walker</t>
  </si>
  <si>
    <t>Daniel Sanchez</t>
  </si>
  <si>
    <t>David Young</t>
  </si>
  <si>
    <t>Elizabeth Clark</t>
  </si>
  <si>
    <t>Emily Harris</t>
  </si>
  <si>
    <t>Joseph Robinson</t>
  </si>
  <si>
    <t>Matthew Ramirez</t>
  </si>
  <si>
    <t>Michael White</t>
  </si>
  <si>
    <t>Sofia Lewis</t>
  </si>
  <si>
    <t>peak_hours</t>
  </si>
  <si>
    <t>order_num</t>
  </si>
  <si>
    <t>product_1</t>
  </si>
  <si>
    <t>product_2</t>
  </si>
  <si>
    <t>times_bought_together</t>
  </si>
  <si>
    <t>Cold Brew</t>
  </si>
  <si>
    <t>Chocolate Chip Cookie</t>
  </si>
  <si>
    <t>Mocha</t>
  </si>
  <si>
    <t>Blueberry Muffin</t>
  </si>
  <si>
    <t>Croissant</t>
  </si>
  <si>
    <t>Banana Bread</t>
  </si>
  <si>
    <t>Bagel with Cream Cheese</t>
  </si>
  <si>
    <t>Cappuccino</t>
  </si>
  <si>
    <t>Americano</t>
  </si>
  <si>
    <t>Product_combo</t>
  </si>
  <si>
    <t>CLOUDBREW COFFEE -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</si>
</sst>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[$-F400]h:mm:ss\ AM/PM"/>
  </numFmts>
  <fonts count="2" x14ac:knownFonts="1">
    <font>
      <sz val="12"/>
      <color theme="1"/>
      <name val="Aptos Narrow"/>
      <family val="2"/>
      <scheme val="minor"/>
    </font>
    <font>
      <b/>
      <sz val="24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vertical="top"/>
    </xf>
    <xf numFmtId="0" fontId="1" fillId="2" borderId="0" xfId="0" applyFont="1" applyFill="1" applyAlignment="1">
      <alignment horizontal="center" vertical="top"/>
    </xf>
    <xf numFmtId="8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Products by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Top_Products!$B$1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Top_Products!$A$2:$A$6</c:f>
              <c:strCache>
                <c:ptCount val="5"/>
                <c:pt idx="0">
                  <c:v>Turkey Sandwich</c:v>
                </c:pt>
                <c:pt idx="1">
                  <c:v>Caesar Salad</c:v>
                </c:pt>
                <c:pt idx="2">
                  <c:v>Iced Tea</c:v>
                </c:pt>
                <c:pt idx="3">
                  <c:v>Latte</c:v>
                </c:pt>
                <c:pt idx="4">
                  <c:v>Caramel Macchiato</c:v>
                </c:pt>
              </c:strCache>
            </c:strRef>
          </c:cat>
          <c:val>
            <c:numRef>
              <c:f>Top_Products!$B$2:$B$6</c:f>
              <c:numCache>
                <c:formatCode>General</c:formatCode>
                <c:ptCount val="5"/>
                <c:pt idx="0">
                  <c:v>214.65</c:v>
                </c:pt>
                <c:pt idx="1">
                  <c:v>204</c:v>
                </c:pt>
                <c:pt idx="2">
                  <c:v>189</c:v>
                </c:pt>
                <c:pt idx="3">
                  <c:v>162</c:v>
                </c:pt>
                <c:pt idx="4">
                  <c:v>157.5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C3-144C-B291-B54C8D365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4253440"/>
        <c:axId val="1998572160"/>
      </c:barChart>
      <c:catAx>
        <c:axId val="204425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572160"/>
        <c:crosses val="autoZero"/>
        <c:auto val="1"/>
        <c:lblAlgn val="ctr"/>
        <c:lblOffset val="100"/>
        <c:noMultiLvlLbl val="0"/>
      </c:catAx>
      <c:valAx>
        <c:axId val="199857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25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10 Customers by Total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Top_Customers!$B$1</c:f>
              <c:strCache>
                <c:ptCount val="1"/>
                <c:pt idx="0">
                  <c:v>total_spent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Top_Customers!$A$2:$A$11</c:f>
              <c:strCache>
                <c:ptCount val="10"/>
                <c:pt idx="0">
                  <c:v>Harper Jackson</c:v>
                </c:pt>
                <c:pt idx="1">
                  <c:v>Charlotte Anderson</c:v>
                </c:pt>
                <c:pt idx="2">
                  <c:v>Emma Johnson</c:v>
                </c:pt>
                <c:pt idx="3">
                  <c:v>Mason Rodriguez</c:v>
                </c:pt>
                <c:pt idx="4">
                  <c:v>Liam Smith</c:v>
                </c:pt>
                <c:pt idx="5">
                  <c:v>Olivia Williams</c:v>
                </c:pt>
                <c:pt idx="6">
                  <c:v>Amelia Taylor</c:v>
                </c:pt>
                <c:pt idx="7">
                  <c:v>Noah Brown</c:v>
                </c:pt>
                <c:pt idx="8">
                  <c:v>Evelyn Lee</c:v>
                </c:pt>
                <c:pt idx="9">
                  <c:v>Isabella Hernandez</c:v>
                </c:pt>
              </c:strCache>
            </c:strRef>
          </c:cat>
          <c:val>
            <c:numRef>
              <c:f>Top_Customers!$B$2:$B$11</c:f>
              <c:numCache>
                <c:formatCode>General</c:formatCode>
                <c:ptCount val="10"/>
                <c:pt idx="0">
                  <c:v>91.5</c:v>
                </c:pt>
                <c:pt idx="1">
                  <c:v>89.85</c:v>
                </c:pt>
                <c:pt idx="2">
                  <c:v>87</c:v>
                </c:pt>
                <c:pt idx="3">
                  <c:v>86.1</c:v>
                </c:pt>
                <c:pt idx="4">
                  <c:v>78.599999999999994</c:v>
                </c:pt>
                <c:pt idx="5">
                  <c:v>73.5</c:v>
                </c:pt>
                <c:pt idx="6">
                  <c:v>72.75</c:v>
                </c:pt>
                <c:pt idx="7">
                  <c:v>72.599999999999994</c:v>
                </c:pt>
                <c:pt idx="8">
                  <c:v>70.5</c:v>
                </c:pt>
                <c:pt idx="9">
                  <c:v>69.75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0-184C-875C-C221FF677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31424192"/>
        <c:axId val="1340743104"/>
      </c:barChart>
      <c:catAx>
        <c:axId val="133142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743104"/>
        <c:crosses val="autoZero"/>
        <c:auto val="1"/>
        <c:lblAlgn val="ctr"/>
        <c:lblOffset val="100"/>
        <c:noMultiLvlLbl val="0"/>
      </c:catAx>
      <c:valAx>
        <c:axId val="134074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424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Daily_Revenue!$B$1</c:f>
              <c:strCache>
                <c:ptCount val="1"/>
                <c:pt idx="0">
                  <c:v>daily_revenue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Daily_Revenue!$A$2:$A$26</c:f>
              <c:numCache>
                <c:formatCode>m/d/yy</c:formatCode>
                <c:ptCount val="25"/>
                <c:pt idx="0">
                  <c:v>46024</c:v>
                </c:pt>
                <c:pt idx="1">
                  <c:v>46025</c:v>
                </c:pt>
                <c:pt idx="2">
                  <c:v>46026</c:v>
                </c:pt>
                <c:pt idx="3">
                  <c:v>46027</c:v>
                </c:pt>
                <c:pt idx="4">
                  <c:v>46028</c:v>
                </c:pt>
                <c:pt idx="5">
                  <c:v>46029</c:v>
                </c:pt>
                <c:pt idx="6">
                  <c:v>46030</c:v>
                </c:pt>
                <c:pt idx="7">
                  <c:v>46031</c:v>
                </c:pt>
                <c:pt idx="8">
                  <c:v>46032</c:v>
                </c:pt>
                <c:pt idx="9">
                  <c:v>46033</c:v>
                </c:pt>
                <c:pt idx="10">
                  <c:v>46034</c:v>
                </c:pt>
                <c:pt idx="11">
                  <c:v>46035</c:v>
                </c:pt>
                <c:pt idx="12">
                  <c:v>46036</c:v>
                </c:pt>
                <c:pt idx="13">
                  <c:v>46037</c:v>
                </c:pt>
                <c:pt idx="14">
                  <c:v>46038</c:v>
                </c:pt>
                <c:pt idx="15">
                  <c:v>46039</c:v>
                </c:pt>
                <c:pt idx="16">
                  <c:v>46040</c:v>
                </c:pt>
                <c:pt idx="17">
                  <c:v>46041</c:v>
                </c:pt>
                <c:pt idx="18">
                  <c:v>46042</c:v>
                </c:pt>
                <c:pt idx="19">
                  <c:v>46043</c:v>
                </c:pt>
                <c:pt idx="20">
                  <c:v>46054</c:v>
                </c:pt>
                <c:pt idx="21">
                  <c:v>46055</c:v>
                </c:pt>
                <c:pt idx="22">
                  <c:v>46056</c:v>
                </c:pt>
                <c:pt idx="23">
                  <c:v>46057</c:v>
                </c:pt>
                <c:pt idx="24">
                  <c:v>46058</c:v>
                </c:pt>
              </c:numCache>
            </c:numRef>
          </c:cat>
          <c:val>
            <c:numRef>
              <c:f>Daily_Revenue!$B$2:$B$26</c:f>
              <c:numCache>
                <c:formatCode>General</c:formatCode>
                <c:ptCount val="25"/>
                <c:pt idx="0">
                  <c:v>61.35</c:v>
                </c:pt>
                <c:pt idx="1">
                  <c:v>68.849999999999994</c:v>
                </c:pt>
                <c:pt idx="2">
                  <c:v>46.5</c:v>
                </c:pt>
                <c:pt idx="3">
                  <c:v>83.1</c:v>
                </c:pt>
                <c:pt idx="4">
                  <c:v>62.25</c:v>
                </c:pt>
                <c:pt idx="5">
                  <c:v>39.75</c:v>
                </c:pt>
                <c:pt idx="6">
                  <c:v>81.599999999999994</c:v>
                </c:pt>
                <c:pt idx="7">
                  <c:v>50.25</c:v>
                </c:pt>
                <c:pt idx="8">
                  <c:v>65.25</c:v>
                </c:pt>
                <c:pt idx="9">
                  <c:v>62.25</c:v>
                </c:pt>
                <c:pt idx="10">
                  <c:v>60.75</c:v>
                </c:pt>
                <c:pt idx="11">
                  <c:v>71.25</c:v>
                </c:pt>
                <c:pt idx="12">
                  <c:v>53.25</c:v>
                </c:pt>
                <c:pt idx="13">
                  <c:v>81.75</c:v>
                </c:pt>
                <c:pt idx="14">
                  <c:v>64.5</c:v>
                </c:pt>
                <c:pt idx="15">
                  <c:v>63.75</c:v>
                </c:pt>
                <c:pt idx="16">
                  <c:v>59.25</c:v>
                </c:pt>
                <c:pt idx="17">
                  <c:v>74.25</c:v>
                </c:pt>
                <c:pt idx="18">
                  <c:v>52.5</c:v>
                </c:pt>
                <c:pt idx="19">
                  <c:v>78</c:v>
                </c:pt>
                <c:pt idx="20">
                  <c:v>63.75</c:v>
                </c:pt>
                <c:pt idx="21">
                  <c:v>67.5</c:v>
                </c:pt>
                <c:pt idx="22">
                  <c:v>54</c:v>
                </c:pt>
                <c:pt idx="23">
                  <c:v>75.75</c:v>
                </c:pt>
                <c:pt idx="24">
                  <c:v>68.25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E2-E644-AAAD-9F8EEA783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1675200"/>
        <c:axId val="1310087744"/>
      </c:lineChart>
      <c:dateAx>
        <c:axId val="1311675200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087744"/>
        <c:crosses val="autoZero"/>
        <c:auto val="1"/>
        <c:lblOffset val="100"/>
        <c:baseTimeUnit val="days"/>
      </c:dateAx>
      <c:valAx>
        <c:axId val="131008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67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24409448818897"/>
          <c:y val="0.15096848927403628"/>
          <c:w val="0.87469721476689"/>
          <c:h val="0.766654349770524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'Category_Revenue'!$B$1</c:f>
              <c:strCache>
                <c:ptCount val="1"/>
                <c:pt idx="0">
                  <c:v>revenue_amount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'Category_Revenue'!$A$2:$A$5</c:f>
              <c:strCache>
                <c:ptCount val="4"/>
                <c:pt idx="0">
                  <c:v>Coffee</c:v>
                </c:pt>
                <c:pt idx="1">
                  <c:v>Food</c:v>
                </c:pt>
                <c:pt idx="2">
                  <c:v>Pastry</c:v>
                </c:pt>
                <c:pt idx="3">
                  <c:v>Beverage</c:v>
                </c:pt>
              </c:strCache>
            </c:strRef>
          </c:cat>
          <c:val>
            <c:numRef>
              <c:f>'Category_Revenue'!$B$2:$B$5</c:f>
              <c:numCache>
                <c:formatCode>General</c:formatCode>
                <c:ptCount val="4"/>
                <c:pt idx="0">
                  <c:v>619.5</c:v>
                </c:pt>
                <c:pt idx="1">
                  <c:v>459.15</c:v>
                </c:pt>
                <c:pt idx="2">
                  <c:v>428.25</c:v>
                </c:pt>
                <c:pt idx="3">
                  <c:v>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E6-B645-BEED-5F676636400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92392576"/>
        <c:axId val="1292397056"/>
      </c:barChart>
      <c:catAx>
        <c:axId val="129239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397056"/>
        <c:crosses val="autoZero"/>
        <c:auto val="1"/>
        <c:lblAlgn val="ctr"/>
        <c:lblOffset val="100"/>
        <c:noMultiLvlLbl val="0"/>
      </c:catAx>
      <c:valAx>
        <c:axId val="129239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39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Order Frequency and Average Order Value</a:t>
            </a:r>
          </a:p>
        </c:rich>
      </c:tx>
      <c:layout>
        <c:manualLayout>
          <c:xMode val="edge"/>
          <c:yMode val="edge"/>
          <c:x val="0.18347634763476348"/>
          <c:y val="3.798349791911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Customer_Order_Frequency!$B$1</c:f>
              <c:strCache>
                <c:ptCount val="1"/>
                <c:pt idx="0">
                  <c:v>order_count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Customer_Order_Frequency!$A$2:$A$31</c:f>
              <c:strCache>
                <c:ptCount val="30"/>
                <c:pt idx="0">
                  <c:v>Emma Johnson</c:v>
                </c:pt>
                <c:pt idx="1">
                  <c:v>Amelia Taylor</c:v>
                </c:pt>
                <c:pt idx="2">
                  <c:v>Ava Jones</c:v>
                </c:pt>
                <c:pt idx="3">
                  <c:v>Benjamin Thomas</c:v>
                </c:pt>
                <c:pt idx="4">
                  <c:v>Charlotte Anderson</c:v>
                </c:pt>
                <c:pt idx="5">
                  <c:v>Ethan Garcia</c:v>
                </c:pt>
                <c:pt idx="6">
                  <c:v>Evelyn Lee</c:v>
                </c:pt>
                <c:pt idx="7">
                  <c:v>Harper Jackson</c:v>
                </c:pt>
                <c:pt idx="8">
                  <c:v>Henry Martin</c:v>
                </c:pt>
                <c:pt idx="9">
                  <c:v>Isabella Hernandez</c:v>
                </c:pt>
                <c:pt idx="10">
                  <c:v>James Wilson</c:v>
                </c:pt>
                <c:pt idx="11">
                  <c:v>Liam Smith</c:v>
                </c:pt>
                <c:pt idx="12">
                  <c:v>Lucas Moore</c:v>
                </c:pt>
                <c:pt idx="13">
                  <c:v>Mason Rodriguez</c:v>
                </c:pt>
                <c:pt idx="14">
                  <c:v>Mia Gonzalez</c:v>
                </c:pt>
                <c:pt idx="15">
                  <c:v>Noah Brown</c:v>
                </c:pt>
                <c:pt idx="16">
                  <c:v>Olivia Williams</c:v>
                </c:pt>
                <c:pt idx="17">
                  <c:v>Sophia Martinez</c:v>
                </c:pt>
                <c:pt idx="18">
                  <c:v>William Lopez</c:v>
                </c:pt>
                <c:pt idx="19">
                  <c:v>Abigail Thompson</c:v>
                </c:pt>
                <c:pt idx="20">
                  <c:v>Alexander Perez</c:v>
                </c:pt>
                <c:pt idx="21">
                  <c:v>Avery Walker</c:v>
                </c:pt>
                <c:pt idx="22">
                  <c:v>Daniel Sanchez</c:v>
                </c:pt>
                <c:pt idx="23">
                  <c:v>David Young</c:v>
                </c:pt>
                <c:pt idx="24">
                  <c:v>Elizabeth Clark</c:v>
                </c:pt>
                <c:pt idx="25">
                  <c:v>Emily Harris</c:v>
                </c:pt>
                <c:pt idx="26">
                  <c:v>Joseph Robinson</c:v>
                </c:pt>
                <c:pt idx="27">
                  <c:v>Matthew Ramirez</c:v>
                </c:pt>
                <c:pt idx="28">
                  <c:v>Michael White</c:v>
                </c:pt>
                <c:pt idx="29">
                  <c:v>Sofia Lewis</c:v>
                </c:pt>
              </c:strCache>
            </c:strRef>
          </c:cat>
          <c:val>
            <c:numRef>
              <c:f>Customer_Order_Frequency!$B$2:$B$31</c:f>
              <c:numCache>
                <c:formatCode>General</c:formatCode>
                <c:ptCount val="30"/>
                <c:pt idx="0">
                  <c:v>9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FC-BE4D-8E2C-97648A359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7955648"/>
        <c:axId val="1257947584"/>
      </c:barChart>
      <c:lineChart>
        <c:grouping val="standard"/>
        <c:varyColors val="0"/>
        <c:ser>
          <c:idx val="1"/>
          <c:order val="1"/>
          <c:tx>
            <c:strRef>
              <c:f>Customer_Order_Frequency!$C$1</c:f>
              <c:strCache>
                <c:ptCount val="1"/>
                <c:pt idx="0">
                  <c:v>avg_order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Customer_Order_Frequency!$A$2:$A$31</c:f>
              <c:strCache>
                <c:ptCount val="30"/>
                <c:pt idx="0">
                  <c:v>Emma Johnson</c:v>
                </c:pt>
                <c:pt idx="1">
                  <c:v>Amelia Taylor</c:v>
                </c:pt>
                <c:pt idx="2">
                  <c:v>Ava Jones</c:v>
                </c:pt>
                <c:pt idx="3">
                  <c:v>Benjamin Thomas</c:v>
                </c:pt>
                <c:pt idx="4">
                  <c:v>Charlotte Anderson</c:v>
                </c:pt>
                <c:pt idx="5">
                  <c:v>Ethan Garcia</c:v>
                </c:pt>
                <c:pt idx="6">
                  <c:v>Evelyn Lee</c:v>
                </c:pt>
                <c:pt idx="7">
                  <c:v>Harper Jackson</c:v>
                </c:pt>
                <c:pt idx="8">
                  <c:v>Henry Martin</c:v>
                </c:pt>
                <c:pt idx="9">
                  <c:v>Isabella Hernandez</c:v>
                </c:pt>
                <c:pt idx="10">
                  <c:v>James Wilson</c:v>
                </c:pt>
                <c:pt idx="11">
                  <c:v>Liam Smith</c:v>
                </c:pt>
                <c:pt idx="12">
                  <c:v>Lucas Moore</c:v>
                </c:pt>
                <c:pt idx="13">
                  <c:v>Mason Rodriguez</c:v>
                </c:pt>
                <c:pt idx="14">
                  <c:v>Mia Gonzalez</c:v>
                </c:pt>
                <c:pt idx="15">
                  <c:v>Noah Brown</c:v>
                </c:pt>
                <c:pt idx="16">
                  <c:v>Olivia Williams</c:v>
                </c:pt>
                <c:pt idx="17">
                  <c:v>Sophia Martinez</c:v>
                </c:pt>
                <c:pt idx="18">
                  <c:v>William Lopez</c:v>
                </c:pt>
                <c:pt idx="19">
                  <c:v>Abigail Thompson</c:v>
                </c:pt>
                <c:pt idx="20">
                  <c:v>Alexander Perez</c:v>
                </c:pt>
                <c:pt idx="21">
                  <c:v>Avery Walker</c:v>
                </c:pt>
                <c:pt idx="22">
                  <c:v>Daniel Sanchez</c:v>
                </c:pt>
                <c:pt idx="23">
                  <c:v>David Young</c:v>
                </c:pt>
                <c:pt idx="24">
                  <c:v>Elizabeth Clark</c:v>
                </c:pt>
                <c:pt idx="25">
                  <c:v>Emily Harris</c:v>
                </c:pt>
                <c:pt idx="26">
                  <c:v>Joseph Robinson</c:v>
                </c:pt>
                <c:pt idx="27">
                  <c:v>Matthew Ramirez</c:v>
                </c:pt>
                <c:pt idx="28">
                  <c:v>Michael White</c:v>
                </c:pt>
                <c:pt idx="29">
                  <c:v>Sofia Lewis</c:v>
                </c:pt>
              </c:strCache>
            </c:strRef>
          </c:cat>
          <c:val>
            <c:numRef>
              <c:f>Customer_Order_Frequency!$C$2:$C$31</c:f>
              <c:numCache>
                <c:formatCode>General</c:formatCode>
                <c:ptCount val="30"/>
                <c:pt idx="0">
                  <c:v>9.67</c:v>
                </c:pt>
                <c:pt idx="1">
                  <c:v>12.13</c:v>
                </c:pt>
                <c:pt idx="2">
                  <c:v>10.38</c:v>
                </c:pt>
                <c:pt idx="3">
                  <c:v>5.25</c:v>
                </c:pt>
                <c:pt idx="4">
                  <c:v>14.98</c:v>
                </c:pt>
                <c:pt idx="5">
                  <c:v>8.25</c:v>
                </c:pt>
                <c:pt idx="6">
                  <c:v>11.75</c:v>
                </c:pt>
                <c:pt idx="7">
                  <c:v>15.25</c:v>
                </c:pt>
                <c:pt idx="8">
                  <c:v>10</c:v>
                </c:pt>
                <c:pt idx="9">
                  <c:v>11.63</c:v>
                </c:pt>
                <c:pt idx="10">
                  <c:v>9.8800000000000008</c:v>
                </c:pt>
                <c:pt idx="11">
                  <c:v>13.1</c:v>
                </c:pt>
                <c:pt idx="12">
                  <c:v>8.25</c:v>
                </c:pt>
                <c:pt idx="13">
                  <c:v>14.35</c:v>
                </c:pt>
                <c:pt idx="14">
                  <c:v>9.6300000000000008</c:v>
                </c:pt>
                <c:pt idx="15">
                  <c:v>12.1</c:v>
                </c:pt>
                <c:pt idx="16">
                  <c:v>12.25</c:v>
                </c:pt>
                <c:pt idx="17">
                  <c:v>10.63</c:v>
                </c:pt>
                <c:pt idx="18">
                  <c:v>10.25</c:v>
                </c:pt>
                <c:pt idx="19">
                  <c:v>8.25</c:v>
                </c:pt>
                <c:pt idx="20">
                  <c:v>6.5</c:v>
                </c:pt>
                <c:pt idx="21">
                  <c:v>11.5</c:v>
                </c:pt>
                <c:pt idx="22">
                  <c:v>12.75</c:v>
                </c:pt>
                <c:pt idx="23">
                  <c:v>6.75</c:v>
                </c:pt>
                <c:pt idx="24">
                  <c:v>10</c:v>
                </c:pt>
                <c:pt idx="25">
                  <c:v>5</c:v>
                </c:pt>
                <c:pt idx="26">
                  <c:v>9.75</c:v>
                </c:pt>
                <c:pt idx="27">
                  <c:v>7</c:v>
                </c:pt>
                <c:pt idx="28">
                  <c:v>15.5</c:v>
                </c:pt>
                <c:pt idx="29">
                  <c:v>14.5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FC-BE4D-8E2C-97648A359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955648"/>
        <c:axId val="1257947584"/>
      </c:lineChart>
      <c:catAx>
        <c:axId val="125795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947584"/>
        <c:crosses val="autoZero"/>
        <c:auto val="1"/>
        <c:lblAlgn val="ctr"/>
        <c:lblOffset val="100"/>
        <c:noMultiLvlLbl val="0"/>
      </c:catAx>
      <c:valAx>
        <c:axId val="125794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95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65000"/>
              <a:lumOff val="3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Peak_Hours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Peak_Hours!$B$1</c:f>
              <c:strCache>
                <c:ptCount val="1"/>
                <c:pt idx="0">
                  <c:v>total_revenue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Peak_Hours!$A$2:$A$11</c:f>
              <c:numCache>
                <c:formatCode>[$-F400]h:mm:ss\ AM/PM</c:formatCode>
                <c:ptCount val="10"/>
                <c:pt idx="0">
                  <c:v>0.29166666666666669</c:v>
                </c:pt>
                <c:pt idx="1">
                  <c:v>0.33333333333333331</c:v>
                </c:pt>
                <c:pt idx="2">
                  <c:v>0.375</c:v>
                </c:pt>
                <c:pt idx="3">
                  <c:v>0.41666666666666669</c:v>
                </c:pt>
                <c:pt idx="4">
                  <c:v>0.45833333333333331</c:v>
                </c:pt>
                <c:pt idx="5">
                  <c:v>0.5</c:v>
                </c:pt>
                <c:pt idx="6">
                  <c:v>0.54166666666666663</c:v>
                </c:pt>
                <c:pt idx="7">
                  <c:v>0.58333333333333337</c:v>
                </c:pt>
                <c:pt idx="8">
                  <c:v>0.625</c:v>
                </c:pt>
                <c:pt idx="9">
                  <c:v>0.66666666666666663</c:v>
                </c:pt>
              </c:numCache>
            </c:numRef>
          </c:cat>
          <c:val>
            <c:numRef>
              <c:f>Peak_Hours!$B$2:$B$11</c:f>
              <c:numCache>
                <c:formatCode>General</c:formatCode>
                <c:ptCount val="10"/>
                <c:pt idx="0">
                  <c:v>135</c:v>
                </c:pt>
                <c:pt idx="1">
                  <c:v>274.5</c:v>
                </c:pt>
                <c:pt idx="2">
                  <c:v>300.75</c:v>
                </c:pt>
                <c:pt idx="3">
                  <c:v>187.95</c:v>
                </c:pt>
                <c:pt idx="4">
                  <c:v>167.7</c:v>
                </c:pt>
                <c:pt idx="5">
                  <c:v>130.35</c:v>
                </c:pt>
                <c:pt idx="6">
                  <c:v>184.35</c:v>
                </c:pt>
                <c:pt idx="7">
                  <c:v>186.45</c:v>
                </c:pt>
                <c:pt idx="8">
                  <c:v>84</c:v>
                </c:pt>
                <c:pt idx="9">
                  <c:v>44.85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08-6E4C-A6F4-342BFE917A2A}"/>
            </c:ext>
          </c:extLst>
        </c:ser>
        <c:ser>
          <c:idx val="1"/>
          <c:order val="1"/>
          <c:tx>
            <c:strRef>
              <c:f>Peak_Hours!$C$1</c:f>
              <c:strCache>
                <c:ptCount val="1"/>
                <c:pt idx="0">
                  <c:v>order_num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Peak_Hours!$A$2:$A$11</c:f>
              <c:numCache>
                <c:formatCode>[$-F400]h:mm:ss\ AM/PM</c:formatCode>
                <c:ptCount val="10"/>
                <c:pt idx="0">
                  <c:v>0.29166666666666669</c:v>
                </c:pt>
                <c:pt idx="1">
                  <c:v>0.33333333333333331</c:v>
                </c:pt>
                <c:pt idx="2">
                  <c:v>0.375</c:v>
                </c:pt>
                <c:pt idx="3">
                  <c:v>0.41666666666666669</c:v>
                </c:pt>
                <c:pt idx="4">
                  <c:v>0.45833333333333331</c:v>
                </c:pt>
                <c:pt idx="5">
                  <c:v>0.5</c:v>
                </c:pt>
                <c:pt idx="6">
                  <c:v>0.54166666666666663</c:v>
                </c:pt>
                <c:pt idx="7">
                  <c:v>0.58333333333333337</c:v>
                </c:pt>
                <c:pt idx="8">
                  <c:v>0.625</c:v>
                </c:pt>
                <c:pt idx="9">
                  <c:v>0.66666666666666663</c:v>
                </c:pt>
              </c:numCache>
            </c:numRef>
          </c:cat>
          <c:val>
            <c:numRef>
              <c:f>Peak_Hours!$C$2:$C$11</c:f>
              <c:numCache>
                <c:formatCode>General</c:formatCode>
                <c:ptCount val="10"/>
                <c:pt idx="0">
                  <c:v>5</c:v>
                </c:pt>
                <c:pt idx="1">
                  <c:v>11</c:v>
                </c:pt>
                <c:pt idx="2">
                  <c:v>10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08-6E4C-A6F4-342BFE917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6429184"/>
        <c:axId val="1246443968"/>
      </c:lineChart>
      <c:catAx>
        <c:axId val="1246429184"/>
        <c:scaling>
          <c:orientation val="minMax"/>
        </c:scaling>
        <c:delete val="0"/>
        <c:axPos val="b"/>
        <c:numFmt formatCode="[$-409]h:mm\ AM/P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443968"/>
        <c:crosses val="autoZero"/>
        <c:auto val="1"/>
        <c:lblAlgn val="ctr"/>
        <c:lblOffset val="100"/>
        <c:noMultiLvlLbl val="0"/>
      </c:catAx>
      <c:valAx>
        <c:axId val="124644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42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Poducts</a:t>
            </a:r>
            <a:r>
              <a:rPr lang="en-US" baseline="0"/>
              <a:t> Combinations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product_pairs!$C$1</c:f>
              <c:strCache>
                <c:ptCount val="1"/>
                <c:pt idx="0">
                  <c:v>times_bought_together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product_pairs!$D$1:$D$6</c:f>
              <c:strCache>
                <c:ptCount val="6"/>
                <c:pt idx="0">
                  <c:v>Product_combo</c:v>
                </c:pt>
                <c:pt idx="1">
                  <c:v>Turkey Sandwich + Iced Tea</c:v>
                </c:pt>
                <c:pt idx="2">
                  <c:v>Cold Brew + Iced Tea</c:v>
                </c:pt>
                <c:pt idx="3">
                  <c:v>Latte + Chocolate Chip Cookie</c:v>
                </c:pt>
                <c:pt idx="4">
                  <c:v>Mocha + Blueberry Muffin</c:v>
                </c:pt>
                <c:pt idx="5">
                  <c:v>Caramel Macchiato + Iced Tea</c:v>
                </c:pt>
              </c:strCache>
            </c:strRef>
          </c:cat>
          <c:val>
            <c:numRef>
              <c:f>product_pairs!$C$2:$C$6</c:f>
              <c:numCache>
                <c:formatCode>General</c:formatCode>
                <c:ptCount val="5"/>
                <c:pt idx="0">
                  <c:v>72</c:v>
                </c:pt>
                <c:pt idx="1">
                  <c:v>54</c:v>
                </c:pt>
                <c:pt idx="2">
                  <c:v>54</c:v>
                </c:pt>
                <c:pt idx="3">
                  <c:v>54</c:v>
                </c:pt>
                <c:pt idx="4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43-3642-810E-270C7CD4B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9387967"/>
        <c:axId val="419384831"/>
      </c:barChart>
      <c:catAx>
        <c:axId val="419387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384831"/>
        <c:crosses val="autoZero"/>
        <c:auto val="1"/>
        <c:lblAlgn val="ctr"/>
        <c:lblOffset val="100"/>
        <c:noMultiLvlLbl val="0"/>
      </c:catAx>
      <c:valAx>
        <c:axId val="419384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387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Products by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Top_Products!$B$1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Top_Products!$A$2:$A$6</c:f>
              <c:strCache>
                <c:ptCount val="5"/>
                <c:pt idx="0">
                  <c:v>Turkey Sandwich</c:v>
                </c:pt>
                <c:pt idx="1">
                  <c:v>Caesar Salad</c:v>
                </c:pt>
                <c:pt idx="2">
                  <c:v>Iced Tea</c:v>
                </c:pt>
                <c:pt idx="3">
                  <c:v>Latte</c:v>
                </c:pt>
                <c:pt idx="4">
                  <c:v>Caramel Macchiato</c:v>
                </c:pt>
              </c:strCache>
            </c:strRef>
          </c:cat>
          <c:val>
            <c:numRef>
              <c:f>Top_Products!$B$2:$B$6</c:f>
              <c:numCache>
                <c:formatCode>General</c:formatCode>
                <c:ptCount val="5"/>
                <c:pt idx="0">
                  <c:v>214.65</c:v>
                </c:pt>
                <c:pt idx="1">
                  <c:v>204</c:v>
                </c:pt>
                <c:pt idx="2">
                  <c:v>189</c:v>
                </c:pt>
                <c:pt idx="3">
                  <c:v>162</c:v>
                </c:pt>
                <c:pt idx="4">
                  <c:v>157.5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59-B943-A423-3BF232871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4253440"/>
        <c:axId val="1998572160"/>
      </c:barChart>
      <c:catAx>
        <c:axId val="204425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572160"/>
        <c:crosses val="autoZero"/>
        <c:auto val="1"/>
        <c:lblAlgn val="ctr"/>
        <c:lblOffset val="100"/>
        <c:noMultiLvlLbl val="0"/>
      </c:catAx>
      <c:valAx>
        <c:axId val="199857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25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10 Customers by Total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Top_Customers!$B$1</c:f>
              <c:strCache>
                <c:ptCount val="1"/>
                <c:pt idx="0">
                  <c:v>total_spent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Top_Customers!$A$2:$A$11</c:f>
              <c:strCache>
                <c:ptCount val="10"/>
                <c:pt idx="0">
                  <c:v>Harper Jackson</c:v>
                </c:pt>
                <c:pt idx="1">
                  <c:v>Charlotte Anderson</c:v>
                </c:pt>
                <c:pt idx="2">
                  <c:v>Emma Johnson</c:v>
                </c:pt>
                <c:pt idx="3">
                  <c:v>Mason Rodriguez</c:v>
                </c:pt>
                <c:pt idx="4">
                  <c:v>Liam Smith</c:v>
                </c:pt>
                <c:pt idx="5">
                  <c:v>Olivia Williams</c:v>
                </c:pt>
                <c:pt idx="6">
                  <c:v>Amelia Taylor</c:v>
                </c:pt>
                <c:pt idx="7">
                  <c:v>Noah Brown</c:v>
                </c:pt>
                <c:pt idx="8">
                  <c:v>Evelyn Lee</c:v>
                </c:pt>
                <c:pt idx="9">
                  <c:v>Isabella Hernandez</c:v>
                </c:pt>
              </c:strCache>
            </c:strRef>
          </c:cat>
          <c:val>
            <c:numRef>
              <c:f>Top_Customers!$B$2:$B$11</c:f>
              <c:numCache>
                <c:formatCode>General</c:formatCode>
                <c:ptCount val="10"/>
                <c:pt idx="0">
                  <c:v>91.5</c:v>
                </c:pt>
                <c:pt idx="1">
                  <c:v>89.85</c:v>
                </c:pt>
                <c:pt idx="2">
                  <c:v>87</c:v>
                </c:pt>
                <c:pt idx="3">
                  <c:v>86.1</c:v>
                </c:pt>
                <c:pt idx="4">
                  <c:v>78.599999999999994</c:v>
                </c:pt>
                <c:pt idx="5">
                  <c:v>73.5</c:v>
                </c:pt>
                <c:pt idx="6">
                  <c:v>72.75</c:v>
                </c:pt>
                <c:pt idx="7">
                  <c:v>72.599999999999994</c:v>
                </c:pt>
                <c:pt idx="8">
                  <c:v>70.5</c:v>
                </c:pt>
                <c:pt idx="9">
                  <c:v>69.75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D6-9E48-A2F2-AB9CB1A44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31424192"/>
        <c:axId val="1340743104"/>
      </c:barChart>
      <c:catAx>
        <c:axId val="133142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743104"/>
        <c:crosses val="autoZero"/>
        <c:auto val="1"/>
        <c:lblAlgn val="ctr"/>
        <c:lblOffset val="100"/>
        <c:noMultiLvlLbl val="0"/>
      </c:catAx>
      <c:valAx>
        <c:axId val="134074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424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Daily_Revenue!$B$1</c:f>
              <c:strCache>
                <c:ptCount val="1"/>
                <c:pt idx="0">
                  <c:v>daily_revenue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Daily_Revenue!$A$2:$A$26</c:f>
              <c:numCache>
                <c:formatCode>m/d/yy</c:formatCode>
                <c:ptCount val="25"/>
                <c:pt idx="0">
                  <c:v>46024</c:v>
                </c:pt>
                <c:pt idx="1">
                  <c:v>46025</c:v>
                </c:pt>
                <c:pt idx="2">
                  <c:v>46026</c:v>
                </c:pt>
                <c:pt idx="3">
                  <c:v>46027</c:v>
                </c:pt>
                <c:pt idx="4">
                  <c:v>46028</c:v>
                </c:pt>
                <c:pt idx="5">
                  <c:v>46029</c:v>
                </c:pt>
                <c:pt idx="6">
                  <c:v>46030</c:v>
                </c:pt>
                <c:pt idx="7">
                  <c:v>46031</c:v>
                </c:pt>
                <c:pt idx="8">
                  <c:v>46032</c:v>
                </c:pt>
                <c:pt idx="9">
                  <c:v>46033</c:v>
                </c:pt>
                <c:pt idx="10">
                  <c:v>46034</c:v>
                </c:pt>
                <c:pt idx="11">
                  <c:v>46035</c:v>
                </c:pt>
                <c:pt idx="12">
                  <c:v>46036</c:v>
                </c:pt>
                <c:pt idx="13">
                  <c:v>46037</c:v>
                </c:pt>
                <c:pt idx="14">
                  <c:v>46038</c:v>
                </c:pt>
                <c:pt idx="15">
                  <c:v>46039</c:v>
                </c:pt>
                <c:pt idx="16">
                  <c:v>46040</c:v>
                </c:pt>
                <c:pt idx="17">
                  <c:v>46041</c:v>
                </c:pt>
                <c:pt idx="18">
                  <c:v>46042</c:v>
                </c:pt>
                <c:pt idx="19">
                  <c:v>46043</c:v>
                </c:pt>
                <c:pt idx="20">
                  <c:v>46054</c:v>
                </c:pt>
                <c:pt idx="21">
                  <c:v>46055</c:v>
                </c:pt>
                <c:pt idx="22">
                  <c:v>46056</c:v>
                </c:pt>
                <c:pt idx="23">
                  <c:v>46057</c:v>
                </c:pt>
                <c:pt idx="24">
                  <c:v>46058</c:v>
                </c:pt>
              </c:numCache>
            </c:numRef>
          </c:cat>
          <c:val>
            <c:numRef>
              <c:f>Daily_Revenue!$B$2:$B$26</c:f>
              <c:numCache>
                <c:formatCode>General</c:formatCode>
                <c:ptCount val="25"/>
                <c:pt idx="0">
                  <c:v>61.35</c:v>
                </c:pt>
                <c:pt idx="1">
                  <c:v>68.849999999999994</c:v>
                </c:pt>
                <c:pt idx="2">
                  <c:v>46.5</c:v>
                </c:pt>
                <c:pt idx="3">
                  <c:v>83.1</c:v>
                </c:pt>
                <c:pt idx="4">
                  <c:v>62.25</c:v>
                </c:pt>
                <c:pt idx="5">
                  <c:v>39.75</c:v>
                </c:pt>
                <c:pt idx="6">
                  <c:v>81.599999999999994</c:v>
                </c:pt>
                <c:pt idx="7">
                  <c:v>50.25</c:v>
                </c:pt>
                <c:pt idx="8">
                  <c:v>65.25</c:v>
                </c:pt>
                <c:pt idx="9">
                  <c:v>62.25</c:v>
                </c:pt>
                <c:pt idx="10">
                  <c:v>60.75</c:v>
                </c:pt>
                <c:pt idx="11">
                  <c:v>71.25</c:v>
                </c:pt>
                <c:pt idx="12">
                  <c:v>53.25</c:v>
                </c:pt>
                <c:pt idx="13">
                  <c:v>81.75</c:v>
                </c:pt>
                <c:pt idx="14">
                  <c:v>64.5</c:v>
                </c:pt>
                <c:pt idx="15">
                  <c:v>63.75</c:v>
                </c:pt>
                <c:pt idx="16">
                  <c:v>59.25</c:v>
                </c:pt>
                <c:pt idx="17">
                  <c:v>74.25</c:v>
                </c:pt>
                <c:pt idx="18">
                  <c:v>52.5</c:v>
                </c:pt>
                <c:pt idx="19">
                  <c:v>78</c:v>
                </c:pt>
                <c:pt idx="20">
                  <c:v>63.75</c:v>
                </c:pt>
                <c:pt idx="21">
                  <c:v>67.5</c:v>
                </c:pt>
                <c:pt idx="22">
                  <c:v>54</c:v>
                </c:pt>
                <c:pt idx="23">
                  <c:v>75.75</c:v>
                </c:pt>
                <c:pt idx="24">
                  <c:v>68.25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57-5C48-A0F6-EE4FFD390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1675200"/>
        <c:axId val="1310087744"/>
      </c:lineChart>
      <c:dateAx>
        <c:axId val="1311675200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087744"/>
        <c:crosses val="autoZero"/>
        <c:auto val="1"/>
        <c:lblOffset val="100"/>
        <c:baseTimeUnit val="days"/>
      </c:dateAx>
      <c:valAx>
        <c:axId val="131008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67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24409448818897"/>
          <c:y val="0.15096848927403628"/>
          <c:w val="0.87469721476689"/>
          <c:h val="0.766654349770524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'Category_Revenue'!$B$1</c:f>
              <c:strCache>
                <c:ptCount val="1"/>
                <c:pt idx="0">
                  <c:v>revenue_amount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'Category_Revenue'!$A$2:$A$5</c:f>
              <c:strCache>
                <c:ptCount val="4"/>
                <c:pt idx="0">
                  <c:v>Coffee</c:v>
                </c:pt>
                <c:pt idx="1">
                  <c:v>Food</c:v>
                </c:pt>
                <c:pt idx="2">
                  <c:v>Pastry</c:v>
                </c:pt>
                <c:pt idx="3">
                  <c:v>Beverage</c:v>
                </c:pt>
              </c:strCache>
            </c:strRef>
          </c:cat>
          <c:val>
            <c:numRef>
              <c:f>'Category_Revenue'!$B$2:$B$5</c:f>
              <c:numCache>
                <c:formatCode>General</c:formatCode>
                <c:ptCount val="4"/>
                <c:pt idx="0">
                  <c:v>619.5</c:v>
                </c:pt>
                <c:pt idx="1">
                  <c:v>459.15</c:v>
                </c:pt>
                <c:pt idx="2">
                  <c:v>428.25</c:v>
                </c:pt>
                <c:pt idx="3">
                  <c:v>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0-EE4E-B11A-4DF1441DB0D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92392576"/>
        <c:axId val="1292397056"/>
      </c:barChart>
      <c:catAx>
        <c:axId val="129239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397056"/>
        <c:crosses val="autoZero"/>
        <c:auto val="1"/>
        <c:lblAlgn val="ctr"/>
        <c:lblOffset val="100"/>
        <c:noMultiLvlLbl val="0"/>
      </c:catAx>
      <c:valAx>
        <c:axId val="129239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39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Order Frequency and Average Order Value</a:t>
            </a:r>
          </a:p>
        </c:rich>
      </c:tx>
      <c:layout>
        <c:manualLayout>
          <c:xMode val="edge"/>
          <c:yMode val="edge"/>
          <c:x val="0.18347634763476348"/>
          <c:y val="3.798349791911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Customer_Order_Frequency!$B$1</c:f>
              <c:strCache>
                <c:ptCount val="1"/>
                <c:pt idx="0">
                  <c:v>order_count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Customer_Order_Frequency!$A$2:$A$31</c:f>
              <c:strCache>
                <c:ptCount val="30"/>
                <c:pt idx="0">
                  <c:v>Emma Johnson</c:v>
                </c:pt>
                <c:pt idx="1">
                  <c:v>Amelia Taylor</c:v>
                </c:pt>
                <c:pt idx="2">
                  <c:v>Ava Jones</c:v>
                </c:pt>
                <c:pt idx="3">
                  <c:v>Benjamin Thomas</c:v>
                </c:pt>
                <c:pt idx="4">
                  <c:v>Charlotte Anderson</c:v>
                </c:pt>
                <c:pt idx="5">
                  <c:v>Ethan Garcia</c:v>
                </c:pt>
                <c:pt idx="6">
                  <c:v>Evelyn Lee</c:v>
                </c:pt>
                <c:pt idx="7">
                  <c:v>Harper Jackson</c:v>
                </c:pt>
                <c:pt idx="8">
                  <c:v>Henry Martin</c:v>
                </c:pt>
                <c:pt idx="9">
                  <c:v>Isabella Hernandez</c:v>
                </c:pt>
                <c:pt idx="10">
                  <c:v>James Wilson</c:v>
                </c:pt>
                <c:pt idx="11">
                  <c:v>Liam Smith</c:v>
                </c:pt>
                <c:pt idx="12">
                  <c:v>Lucas Moore</c:v>
                </c:pt>
                <c:pt idx="13">
                  <c:v>Mason Rodriguez</c:v>
                </c:pt>
                <c:pt idx="14">
                  <c:v>Mia Gonzalez</c:v>
                </c:pt>
                <c:pt idx="15">
                  <c:v>Noah Brown</c:v>
                </c:pt>
                <c:pt idx="16">
                  <c:v>Olivia Williams</c:v>
                </c:pt>
                <c:pt idx="17">
                  <c:v>Sophia Martinez</c:v>
                </c:pt>
                <c:pt idx="18">
                  <c:v>William Lopez</c:v>
                </c:pt>
                <c:pt idx="19">
                  <c:v>Abigail Thompson</c:v>
                </c:pt>
                <c:pt idx="20">
                  <c:v>Alexander Perez</c:v>
                </c:pt>
                <c:pt idx="21">
                  <c:v>Avery Walker</c:v>
                </c:pt>
                <c:pt idx="22">
                  <c:v>Daniel Sanchez</c:v>
                </c:pt>
                <c:pt idx="23">
                  <c:v>David Young</c:v>
                </c:pt>
                <c:pt idx="24">
                  <c:v>Elizabeth Clark</c:v>
                </c:pt>
                <c:pt idx="25">
                  <c:v>Emily Harris</c:v>
                </c:pt>
                <c:pt idx="26">
                  <c:v>Joseph Robinson</c:v>
                </c:pt>
                <c:pt idx="27">
                  <c:v>Matthew Ramirez</c:v>
                </c:pt>
                <c:pt idx="28">
                  <c:v>Michael White</c:v>
                </c:pt>
                <c:pt idx="29">
                  <c:v>Sofia Lewis</c:v>
                </c:pt>
              </c:strCache>
            </c:strRef>
          </c:cat>
          <c:val>
            <c:numRef>
              <c:f>Customer_Order_Frequency!$B$2:$B$31</c:f>
              <c:numCache>
                <c:formatCode>General</c:formatCode>
                <c:ptCount val="30"/>
                <c:pt idx="0">
                  <c:v>9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7-C64B-AE5A-DCC5FDC8A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7955648"/>
        <c:axId val="1257947584"/>
      </c:barChart>
      <c:lineChart>
        <c:grouping val="standard"/>
        <c:varyColors val="0"/>
        <c:ser>
          <c:idx val="1"/>
          <c:order val="1"/>
          <c:tx>
            <c:strRef>
              <c:f>Customer_Order_Frequency!$C$1</c:f>
              <c:strCache>
                <c:ptCount val="1"/>
                <c:pt idx="0">
                  <c:v>avg_order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Customer_Order_Frequency!$A$2:$A$31</c:f>
              <c:strCache>
                <c:ptCount val="30"/>
                <c:pt idx="0">
                  <c:v>Emma Johnson</c:v>
                </c:pt>
                <c:pt idx="1">
                  <c:v>Amelia Taylor</c:v>
                </c:pt>
                <c:pt idx="2">
                  <c:v>Ava Jones</c:v>
                </c:pt>
                <c:pt idx="3">
                  <c:v>Benjamin Thomas</c:v>
                </c:pt>
                <c:pt idx="4">
                  <c:v>Charlotte Anderson</c:v>
                </c:pt>
                <c:pt idx="5">
                  <c:v>Ethan Garcia</c:v>
                </c:pt>
                <c:pt idx="6">
                  <c:v>Evelyn Lee</c:v>
                </c:pt>
                <c:pt idx="7">
                  <c:v>Harper Jackson</c:v>
                </c:pt>
                <c:pt idx="8">
                  <c:v>Henry Martin</c:v>
                </c:pt>
                <c:pt idx="9">
                  <c:v>Isabella Hernandez</c:v>
                </c:pt>
                <c:pt idx="10">
                  <c:v>James Wilson</c:v>
                </c:pt>
                <c:pt idx="11">
                  <c:v>Liam Smith</c:v>
                </c:pt>
                <c:pt idx="12">
                  <c:v>Lucas Moore</c:v>
                </c:pt>
                <c:pt idx="13">
                  <c:v>Mason Rodriguez</c:v>
                </c:pt>
                <c:pt idx="14">
                  <c:v>Mia Gonzalez</c:v>
                </c:pt>
                <c:pt idx="15">
                  <c:v>Noah Brown</c:v>
                </c:pt>
                <c:pt idx="16">
                  <c:v>Olivia Williams</c:v>
                </c:pt>
                <c:pt idx="17">
                  <c:v>Sophia Martinez</c:v>
                </c:pt>
                <c:pt idx="18">
                  <c:v>William Lopez</c:v>
                </c:pt>
                <c:pt idx="19">
                  <c:v>Abigail Thompson</c:v>
                </c:pt>
                <c:pt idx="20">
                  <c:v>Alexander Perez</c:v>
                </c:pt>
                <c:pt idx="21">
                  <c:v>Avery Walker</c:v>
                </c:pt>
                <c:pt idx="22">
                  <c:v>Daniel Sanchez</c:v>
                </c:pt>
                <c:pt idx="23">
                  <c:v>David Young</c:v>
                </c:pt>
                <c:pt idx="24">
                  <c:v>Elizabeth Clark</c:v>
                </c:pt>
                <c:pt idx="25">
                  <c:v>Emily Harris</c:v>
                </c:pt>
                <c:pt idx="26">
                  <c:v>Joseph Robinson</c:v>
                </c:pt>
                <c:pt idx="27">
                  <c:v>Matthew Ramirez</c:v>
                </c:pt>
                <c:pt idx="28">
                  <c:v>Michael White</c:v>
                </c:pt>
                <c:pt idx="29">
                  <c:v>Sofia Lewis</c:v>
                </c:pt>
              </c:strCache>
            </c:strRef>
          </c:cat>
          <c:val>
            <c:numRef>
              <c:f>Customer_Order_Frequency!$C$2:$C$31</c:f>
              <c:numCache>
                <c:formatCode>General</c:formatCode>
                <c:ptCount val="30"/>
                <c:pt idx="0">
                  <c:v>9.67</c:v>
                </c:pt>
                <c:pt idx="1">
                  <c:v>12.13</c:v>
                </c:pt>
                <c:pt idx="2">
                  <c:v>10.38</c:v>
                </c:pt>
                <c:pt idx="3">
                  <c:v>5.25</c:v>
                </c:pt>
                <c:pt idx="4">
                  <c:v>14.98</c:v>
                </c:pt>
                <c:pt idx="5">
                  <c:v>8.25</c:v>
                </c:pt>
                <c:pt idx="6">
                  <c:v>11.75</c:v>
                </c:pt>
                <c:pt idx="7">
                  <c:v>15.25</c:v>
                </c:pt>
                <c:pt idx="8">
                  <c:v>10</c:v>
                </c:pt>
                <c:pt idx="9">
                  <c:v>11.63</c:v>
                </c:pt>
                <c:pt idx="10">
                  <c:v>9.8800000000000008</c:v>
                </c:pt>
                <c:pt idx="11">
                  <c:v>13.1</c:v>
                </c:pt>
                <c:pt idx="12">
                  <c:v>8.25</c:v>
                </c:pt>
                <c:pt idx="13">
                  <c:v>14.35</c:v>
                </c:pt>
                <c:pt idx="14">
                  <c:v>9.6300000000000008</c:v>
                </c:pt>
                <c:pt idx="15">
                  <c:v>12.1</c:v>
                </c:pt>
                <c:pt idx="16">
                  <c:v>12.25</c:v>
                </c:pt>
                <c:pt idx="17">
                  <c:v>10.63</c:v>
                </c:pt>
                <c:pt idx="18">
                  <c:v>10.25</c:v>
                </c:pt>
                <c:pt idx="19">
                  <c:v>8.25</c:v>
                </c:pt>
                <c:pt idx="20">
                  <c:v>6.5</c:v>
                </c:pt>
                <c:pt idx="21">
                  <c:v>11.5</c:v>
                </c:pt>
                <c:pt idx="22">
                  <c:v>12.75</c:v>
                </c:pt>
                <c:pt idx="23">
                  <c:v>6.75</c:v>
                </c:pt>
                <c:pt idx="24">
                  <c:v>10</c:v>
                </c:pt>
                <c:pt idx="25">
                  <c:v>5</c:v>
                </c:pt>
                <c:pt idx="26">
                  <c:v>9.75</c:v>
                </c:pt>
                <c:pt idx="27">
                  <c:v>7</c:v>
                </c:pt>
                <c:pt idx="28">
                  <c:v>15.5</c:v>
                </c:pt>
                <c:pt idx="29">
                  <c:v>14.5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87-C64B-AE5A-DCC5FDC8A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955648"/>
        <c:axId val="1257947584"/>
      </c:lineChart>
      <c:catAx>
        <c:axId val="125795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947584"/>
        <c:crosses val="autoZero"/>
        <c:auto val="1"/>
        <c:lblAlgn val="ctr"/>
        <c:lblOffset val="100"/>
        <c:noMultiLvlLbl val="0"/>
      </c:catAx>
      <c:valAx>
        <c:axId val="125794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95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65000"/>
              <a:lumOff val="3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Peak_Hours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Peak_Hours!$B$1</c:f>
              <c:strCache>
                <c:ptCount val="1"/>
                <c:pt idx="0">
                  <c:v>total_revenue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Peak_Hours!$A$2:$A$11</c:f>
              <c:numCache>
                <c:formatCode>[$-F400]h:mm:ss\ AM/PM</c:formatCode>
                <c:ptCount val="10"/>
                <c:pt idx="0">
                  <c:v>0.29166666666666669</c:v>
                </c:pt>
                <c:pt idx="1">
                  <c:v>0.33333333333333331</c:v>
                </c:pt>
                <c:pt idx="2">
                  <c:v>0.375</c:v>
                </c:pt>
                <c:pt idx="3">
                  <c:v>0.41666666666666669</c:v>
                </c:pt>
                <c:pt idx="4">
                  <c:v>0.45833333333333331</c:v>
                </c:pt>
                <c:pt idx="5">
                  <c:v>0.5</c:v>
                </c:pt>
                <c:pt idx="6">
                  <c:v>0.54166666666666663</c:v>
                </c:pt>
                <c:pt idx="7">
                  <c:v>0.58333333333333337</c:v>
                </c:pt>
                <c:pt idx="8">
                  <c:v>0.625</c:v>
                </c:pt>
                <c:pt idx="9">
                  <c:v>0.66666666666666663</c:v>
                </c:pt>
              </c:numCache>
            </c:numRef>
          </c:cat>
          <c:val>
            <c:numRef>
              <c:f>Peak_Hours!$B$2:$B$11</c:f>
              <c:numCache>
                <c:formatCode>General</c:formatCode>
                <c:ptCount val="10"/>
                <c:pt idx="0">
                  <c:v>135</c:v>
                </c:pt>
                <c:pt idx="1">
                  <c:v>274.5</c:v>
                </c:pt>
                <c:pt idx="2">
                  <c:v>300.75</c:v>
                </c:pt>
                <c:pt idx="3">
                  <c:v>187.95</c:v>
                </c:pt>
                <c:pt idx="4">
                  <c:v>167.7</c:v>
                </c:pt>
                <c:pt idx="5">
                  <c:v>130.35</c:v>
                </c:pt>
                <c:pt idx="6">
                  <c:v>184.35</c:v>
                </c:pt>
                <c:pt idx="7">
                  <c:v>186.45</c:v>
                </c:pt>
                <c:pt idx="8">
                  <c:v>84</c:v>
                </c:pt>
                <c:pt idx="9">
                  <c:v>44.85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03-B24D-926A-C48C721A7662}"/>
            </c:ext>
          </c:extLst>
        </c:ser>
        <c:ser>
          <c:idx val="1"/>
          <c:order val="1"/>
          <c:tx>
            <c:strRef>
              <c:f>Peak_Hours!$C$1</c:f>
              <c:strCache>
                <c:ptCount val="1"/>
                <c:pt idx="0">
                  <c:v>order_num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Peak_Hours!$A$2:$A$11</c:f>
              <c:numCache>
                <c:formatCode>[$-F400]h:mm:ss\ AM/PM</c:formatCode>
                <c:ptCount val="10"/>
                <c:pt idx="0">
                  <c:v>0.29166666666666669</c:v>
                </c:pt>
                <c:pt idx="1">
                  <c:v>0.33333333333333331</c:v>
                </c:pt>
                <c:pt idx="2">
                  <c:v>0.375</c:v>
                </c:pt>
                <c:pt idx="3">
                  <c:v>0.41666666666666669</c:v>
                </c:pt>
                <c:pt idx="4">
                  <c:v>0.45833333333333331</c:v>
                </c:pt>
                <c:pt idx="5">
                  <c:v>0.5</c:v>
                </c:pt>
                <c:pt idx="6">
                  <c:v>0.54166666666666663</c:v>
                </c:pt>
                <c:pt idx="7">
                  <c:v>0.58333333333333337</c:v>
                </c:pt>
                <c:pt idx="8">
                  <c:v>0.625</c:v>
                </c:pt>
                <c:pt idx="9">
                  <c:v>0.66666666666666663</c:v>
                </c:pt>
              </c:numCache>
            </c:numRef>
          </c:cat>
          <c:val>
            <c:numRef>
              <c:f>Peak_Hours!$C$2:$C$11</c:f>
              <c:numCache>
                <c:formatCode>General</c:formatCode>
                <c:ptCount val="10"/>
                <c:pt idx="0">
                  <c:v>5</c:v>
                </c:pt>
                <c:pt idx="1">
                  <c:v>11</c:v>
                </c:pt>
                <c:pt idx="2">
                  <c:v>10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03-B24D-926A-C48C721A7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6429184"/>
        <c:axId val="1246443968"/>
      </c:lineChart>
      <c:catAx>
        <c:axId val="1246429184"/>
        <c:scaling>
          <c:orientation val="minMax"/>
        </c:scaling>
        <c:delete val="0"/>
        <c:axPos val="b"/>
        <c:numFmt formatCode="[$-409]h:mm\ AM/P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443968"/>
        <c:crosses val="autoZero"/>
        <c:auto val="1"/>
        <c:lblAlgn val="ctr"/>
        <c:lblOffset val="100"/>
        <c:noMultiLvlLbl val="0"/>
      </c:catAx>
      <c:valAx>
        <c:axId val="124644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42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Poducts</a:t>
            </a:r>
            <a:r>
              <a:rPr lang="en-US" baseline="0"/>
              <a:t> Combinations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product_pairs!$C$1</c:f>
              <c:strCache>
                <c:ptCount val="1"/>
                <c:pt idx="0">
                  <c:v>times_bought_together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product_pairs!$D$1:$D$6</c:f>
              <c:strCache>
                <c:ptCount val="6"/>
                <c:pt idx="0">
                  <c:v>Product_combo</c:v>
                </c:pt>
                <c:pt idx="1">
                  <c:v>Turkey Sandwich + Iced Tea</c:v>
                </c:pt>
                <c:pt idx="2">
                  <c:v>Cold Brew + Iced Tea</c:v>
                </c:pt>
                <c:pt idx="3">
                  <c:v>Latte + Chocolate Chip Cookie</c:v>
                </c:pt>
                <c:pt idx="4">
                  <c:v>Mocha + Blueberry Muffin</c:v>
                </c:pt>
                <c:pt idx="5">
                  <c:v>Caramel Macchiato + Iced Tea</c:v>
                </c:pt>
              </c:strCache>
            </c:strRef>
          </c:cat>
          <c:val>
            <c:numRef>
              <c:f>product_pairs!$C$2:$C$6</c:f>
              <c:numCache>
                <c:formatCode>General</c:formatCode>
                <c:ptCount val="5"/>
                <c:pt idx="0">
                  <c:v>72</c:v>
                </c:pt>
                <c:pt idx="1">
                  <c:v>54</c:v>
                </c:pt>
                <c:pt idx="2">
                  <c:v>54</c:v>
                </c:pt>
                <c:pt idx="3">
                  <c:v>54</c:v>
                </c:pt>
                <c:pt idx="4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53-164F-BE52-44AF6B4E3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9387967"/>
        <c:axId val="419384831"/>
      </c:barChart>
      <c:catAx>
        <c:axId val="419387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384831"/>
        <c:crosses val="autoZero"/>
        <c:auto val="1"/>
        <c:lblAlgn val="ctr"/>
        <c:lblOffset val="100"/>
        <c:noMultiLvlLbl val="0"/>
      </c:catAx>
      <c:valAx>
        <c:axId val="419384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387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2</xdr:row>
      <xdr:rowOff>25400</xdr:rowOff>
    </xdr:from>
    <xdr:to>
      <xdr:col>5</xdr:col>
      <xdr:colOff>12700</xdr:colOff>
      <xdr:row>15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BD3D49-0862-8F40-870C-2C66F2A61A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457200</xdr:colOff>
      <xdr:row>2</xdr:row>
      <xdr:rowOff>0</xdr:rowOff>
    </xdr:from>
    <xdr:to>
      <xdr:col>10</xdr:col>
      <xdr:colOff>457200</xdr:colOff>
      <xdr:row>15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5AE5FA-B1B0-0A4D-85D8-584A9497A4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12700</xdr:colOff>
      <xdr:row>2</xdr:row>
      <xdr:rowOff>0</xdr:rowOff>
    </xdr:from>
    <xdr:to>
      <xdr:col>15</xdr:col>
      <xdr:colOff>812800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EC03A4-BCA6-1245-8F31-B0A0A59FB6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5</xdr:col>
      <xdr:colOff>0</xdr:colOff>
      <xdr:row>30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D341B28-5DB0-FC4B-88CB-7A65C526E8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406400</xdr:colOff>
      <xdr:row>17</xdr:row>
      <xdr:rowOff>0</xdr:rowOff>
    </xdr:from>
    <xdr:to>
      <xdr:col>10</xdr:col>
      <xdr:colOff>419100</xdr:colOff>
      <xdr:row>31</xdr:row>
      <xdr:rowOff>50800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35F4F94-B779-834B-8F55-4FD1419080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5</xdr:col>
      <xdr:colOff>0</xdr:colOff>
      <xdr:row>46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C0BD5D5-F923-1244-96CE-8CB74E4125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355600</xdr:colOff>
      <xdr:row>32</xdr:row>
      <xdr:rowOff>0</xdr:rowOff>
    </xdr:from>
    <xdr:to>
      <xdr:col>10</xdr:col>
      <xdr:colOff>381000</xdr:colOff>
      <xdr:row>46</xdr:row>
      <xdr:rowOff>25400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698861E-15D6-5241-BC79-46DDD70D5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527050</xdr:colOff>
      <xdr:row>12</xdr:row>
      <xdr:rowOff>139700</xdr:rowOff>
    </xdr:from>
    <xdr:to>
      <xdr:col>10</xdr:col>
      <xdr:colOff>146050</xdr:colOff>
      <xdr:row>26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F55E87-D60B-8C36-F08A-B6F0CC6549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18</xdr:row>
      <xdr:rowOff>133350</xdr:rowOff>
    </xdr:from>
    <xdr:to>
      <xdr:col>10</xdr:col>
      <xdr:colOff>114300</xdr:colOff>
      <xdr:row>32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41EEF7-2CE9-EC43-C830-B92075EE0F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603250</xdr:colOff>
      <xdr:row>19</xdr:row>
      <xdr:rowOff>184150</xdr:rowOff>
    </xdr:from>
    <xdr:to>
      <xdr:col>9</xdr:col>
      <xdr:colOff>222250</xdr:colOff>
      <xdr:row>33</xdr:row>
      <xdr:rowOff>82550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BACB20-5B0B-7524-B0E5-B63D855906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139700</xdr:colOff>
      <xdr:row>8</xdr:row>
      <xdr:rowOff>19050</xdr:rowOff>
    </xdr:from>
    <xdr:to>
      <xdr:col>9</xdr:col>
      <xdr:colOff>812800</xdr:colOff>
      <xdr:row>24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A7564A-3CD9-93BA-CEE2-1C0A78A4A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44450</xdr:colOff>
      <xdr:row>16</xdr:row>
      <xdr:rowOff>6350</xdr:rowOff>
    </xdr:from>
    <xdr:to>
      <xdr:col>11</xdr:col>
      <xdr:colOff>38100</xdr:colOff>
      <xdr:row>33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443B17-007B-2A27-0573-71C9AA7B0A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</xdr:colOff>
      <xdr:row>9</xdr:row>
      <xdr:rowOff>19050</xdr:rowOff>
    </xdr:from>
    <xdr:to>
      <xdr:col>10</xdr:col>
      <xdr:colOff>787400</xdr:colOff>
      <xdr:row>22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1E80D2-9F17-178E-8879-83BAD0FC7A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425450</xdr:colOff>
      <xdr:row>20</xdr:row>
      <xdr:rowOff>95250</xdr:rowOff>
    </xdr:from>
    <xdr:to>
      <xdr:col>6</xdr:col>
      <xdr:colOff>203200</xdr:colOff>
      <xdr:row>36</xdr:row>
      <xdr:rowOff>12700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721EF8E-24C5-5256-550B-978E4ED2EA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A3AA7FCA-069D-C743-8B33-7D691DC859C6}" autoFormatId="16" applyNumberFormats="0" applyBorderFormats="0" applyFontFormats="0" applyPatternFormats="0" applyAlignmentFormats="0" applyWidthHeightFormats="0">
  <queryTableRefresh nextId="3">
    <queryTableFields count="2">
      <queryTableField id="1" name="product_name" tableColumnId="1"/>
      <queryTableField id="2" name="total_reven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5F264B93-7CA0-634D-9831-856C7D4F990E}" autoFormatId="16" applyNumberFormats="0" applyBorderFormats="0" applyFontFormats="0" applyPatternFormats="0" applyAlignmentFormats="0" applyWidthHeightFormats="0">
  <queryTableRefresh nextId="3">
    <queryTableFields count="2">
      <queryTableField id="1" name="customer_name" tableColumnId="1"/>
      <queryTableField id="2" name="total_spent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A141CE6-0B6A-BC4E-B144-8D9115EF8F9D}" autoFormatId="16" applyNumberFormats="0" applyBorderFormats="0" applyFontFormats="0" applyPatternFormats="0" applyAlignmentFormats="0" applyWidthHeightFormats="0">
  <queryTableRefresh nextId="4">
    <queryTableFields count="3">
      <queryTableField id="1" name="order_date" tableColumnId="1"/>
      <queryTableField id="2" name="daily_revenue" tableColumnId="2"/>
      <queryTableField id="3" name="day_of_week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3DAF92-5BB6-B441-984B-380CD209A2B0}" autoFormatId="16" applyNumberFormats="0" applyBorderFormats="0" applyFontFormats="0" applyPatternFormats="0" applyAlignmentFormats="0" applyWidthHeightFormats="0">
  <queryTableRefresh nextId="3">
    <queryTableFields count="2">
      <queryTableField id="1" name="category" tableColumnId="1"/>
      <queryTableField id="2" name="revenue_amount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C6172B1-2247-0F42-B949-EBFEA9B88FE1}" autoFormatId="16" applyNumberFormats="0" applyBorderFormats="0" applyFontFormats="0" applyPatternFormats="0" applyAlignmentFormats="0" applyWidthHeightFormats="0">
  <queryTableRefresh nextId="4">
    <queryTableFields count="3">
      <queryTableField id="1" name="customer_name" tableColumnId="1"/>
      <queryTableField id="2" name="order_count" tableColumnId="2"/>
      <queryTableField id="3" name="avg_order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257F81E4-B1B0-894C-8E2A-336347529822}" autoFormatId="16" applyNumberFormats="0" applyBorderFormats="0" applyFontFormats="0" applyPatternFormats="0" applyAlignmentFormats="0" applyWidthHeightFormats="0">
  <queryTableRefresh nextId="4">
    <queryTableFields count="3">
      <queryTableField id="1" name="peak_hours" tableColumnId="1"/>
      <queryTableField id="2" name="total_revenue" tableColumnId="2"/>
      <queryTableField id="3" name="order_num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B13ACB60-1158-224C-9CED-197779180F45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product_1" tableColumnId="1"/>
      <queryTableField id="2" name="product_2" tableColumnId="2"/>
      <queryTableField id="3" name="times_bought_together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7E3F00-6232-7A4E-86E4-392582D00BEF}" name="top_products" displayName="top_products" ref="A1:B6" tableType="queryTable" totalsRowShown="0">
  <autoFilter ref="A1:B6" xr:uid="{EE7E3F00-6232-7A4E-86E4-392582D00BEF}"/>
  <tableColumns count="2">
    <tableColumn id="1" xr3:uid="{CA233F74-F0AA-B04B-9608-E133C3B34E3F}" uniqueName="1" name="product_name" queryTableFieldId="1" dataDxfId="7"/>
    <tableColumn id="2" xr3:uid="{B48A6953-3704-794B-9134-EBC206E25892}" uniqueName="2" name="total_reven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79A7C1-877F-144B-8443-58B7EB9E5892}" name="top_customers_1" displayName="top_customers_1" ref="A1:B11" tableType="queryTable" totalsRowShown="0">
  <autoFilter ref="A1:B11" xr:uid="{6379A7C1-877F-144B-8443-58B7EB9E5892}"/>
  <tableColumns count="2">
    <tableColumn id="1" xr3:uid="{2128D873-667B-B44D-B7A8-D3FCD5CD611D}" uniqueName="1" name="customer_name" queryTableFieldId="1" dataDxfId="6"/>
    <tableColumn id="2" xr3:uid="{141FEF9D-1E18-BF47-9847-2D69081F53DB}" uniqueName="2" name="total_spent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7EF002-533C-B341-B36F-F5DFC5316F24}" name="daily_revenue__2" displayName="daily_revenue__2" ref="A1:C26" tableType="queryTable" totalsRowShown="0">
  <autoFilter ref="A1:C26" xr:uid="{8D7EF002-533C-B341-B36F-F5DFC5316F24}"/>
  <tableColumns count="3">
    <tableColumn id="1" xr3:uid="{5FECC833-DCF2-C24A-844D-4C69A5BFAE40}" uniqueName="1" name="order_date" queryTableFieldId="1" dataDxfId="5"/>
    <tableColumn id="2" xr3:uid="{3BD9FBC5-A472-2C4D-9C11-2F23CF82B67E}" uniqueName="2" name="daily_revenue" queryTableFieldId="2"/>
    <tableColumn id="3" xr3:uid="{46082EC2-2E54-F24C-B333-AAB722200817}" uniqueName="3" name="day_of_week" queryTableFieldId="3" dataDxf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CFAC840-1562-F844-B4BE-95637F732957}" name="category_revenue" displayName="category_revenue" ref="A1:B5" tableType="queryTable" totalsRowShown="0">
  <autoFilter ref="A1:B5" xr:uid="{3CFAC840-1562-F844-B4BE-95637F732957}"/>
  <tableColumns count="2">
    <tableColumn id="1" xr3:uid="{37152F2D-6175-FC47-AEBE-4ED9295BD98D}" uniqueName="1" name="category" queryTableFieldId="1" dataDxfId="3"/>
    <tableColumn id="2" xr3:uid="{779E22E8-3D49-E749-8291-811D2003FC82}" uniqueName="2" name="revenue_amount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9307263-8CEA-EB48-B92B-EA49A98C4E37}" name="customer_frequency" displayName="customer_frequency" ref="A1:C31" tableType="queryTable" totalsRowShown="0">
  <autoFilter ref="A1:C31" xr:uid="{69307263-8CEA-EB48-B92B-EA49A98C4E37}"/>
  <sortState xmlns:xlrd2="http://schemas.microsoft.com/office/spreadsheetml/2017/richdata2" ref="A2:C31">
    <sortCondition descending="1" ref="B2:B31"/>
  </sortState>
  <tableColumns count="3">
    <tableColumn id="1" xr3:uid="{E7ACF43C-4FFF-EE49-9B9D-7AD79FB6AEB8}" uniqueName="1" name="customer_name" queryTableFieldId="1" dataDxfId="2"/>
    <tableColumn id="2" xr3:uid="{39508AEC-F95A-C542-BCC5-E92133DAE2C5}" uniqueName="2" name="order_count" queryTableFieldId="2"/>
    <tableColumn id="3" xr3:uid="{C972CBF9-9969-8747-8FEB-31E0152B2539}" uniqueName="3" name="avg_order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A745A32-062D-924C-89C7-9CC22E3DF2B4}" name="peak_hours" displayName="peak_hours" ref="A1:C11" tableType="queryTable" totalsRowShown="0">
  <autoFilter ref="A1:C11" xr:uid="{CA745A32-062D-924C-89C7-9CC22E3DF2B4}"/>
  <tableColumns count="3">
    <tableColumn id="1" xr3:uid="{2D729345-562A-F64E-8E86-961E7F5EA7E0}" uniqueName="1" name="peak_hours" queryTableFieldId="1" dataDxfId="1"/>
    <tableColumn id="2" xr3:uid="{3BACC89A-96BB-B644-A71E-8C94FA79A421}" uniqueName="2" name="total_revenue" queryTableFieldId="2"/>
    <tableColumn id="3" xr3:uid="{9512C635-03B6-2141-BD30-4BDB305B0B92}" uniqueName="3" name="order_num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990DF74-3F91-4343-8436-D5FAE5483814}" name="product_pairs" displayName="product_pairs" ref="A1:D41" tableType="queryTable" totalsRowShown="0">
  <autoFilter ref="A1:D41" xr:uid="{B990DF74-3F91-4343-8436-D5FAE5483814}"/>
  <tableColumns count="4">
    <tableColumn id="1" xr3:uid="{4F3D18D9-8CBA-0D46-9385-E51787662BDD}" uniqueName="1" name="product_1" queryTableFieldId="1" dataDxfId="9"/>
    <tableColumn id="2" xr3:uid="{B318DF4F-5D60-254C-9C34-6FA16A31A795}" uniqueName="2" name="product_2" queryTableFieldId="2" dataDxfId="8"/>
    <tableColumn id="3" xr3:uid="{28C699A7-4CC0-4A41-B98B-0E6083537FB7}" uniqueName="3" name="times_bought_together" queryTableFieldId="3"/>
    <tableColumn id="4" xr3:uid="{1BB36B1A-404E-884D-B7D5-F39EA57575DC}" uniqueName="4" name="Product_combo" queryTableFieldId="4" dataDxfId="0">
      <calculatedColumnFormula>A2&amp;" + "&amp;B2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F2627-4CA3-3F47-8C29-53E920C86D32}">
  <dimension ref="A1:T21"/>
  <sheetViews>
    <sheetView tabSelected="1" workbookViewId="0">
      <selection activeCell="L22" sqref="L22"/>
    </sheetView>
  </sheetViews>
  <sheetFormatPr baseColWidth="10" defaultRowHeight="16" x14ac:dyDescent="0.2"/>
  <sheetData>
    <row r="1" spans="1:16" s="3" customFormat="1" ht="30" x14ac:dyDescent="0.2">
      <c r="A1" s="4" t="s">
        <v>72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1" spans="20:20" x14ac:dyDescent="0.2">
      <c r="T21" s="5"/>
    </row>
  </sheetData>
  <mergeCells count="1">
    <mergeCell ref="A1:P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4CC57-6DA7-0F4D-9F9F-69ABD3450E99}">
  <dimension ref="A1:B6"/>
  <sheetViews>
    <sheetView workbookViewId="0">
      <selection activeCell="I34" sqref="I34"/>
    </sheetView>
  </sheetViews>
  <sheetFormatPr baseColWidth="10" defaultRowHeight="16" x14ac:dyDescent="0.2"/>
  <cols>
    <col min="1" max="1" width="17.33203125" bestFit="1" customWidth="1"/>
    <col min="2" max="2" width="14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214.65</v>
      </c>
    </row>
    <row r="3" spans="1:2" x14ac:dyDescent="0.2">
      <c r="A3" t="s">
        <v>3</v>
      </c>
      <c r="B3">
        <v>204</v>
      </c>
    </row>
    <row r="4" spans="1:2" x14ac:dyDescent="0.2">
      <c r="A4" t="s">
        <v>4</v>
      </c>
      <c r="B4">
        <v>189</v>
      </c>
    </row>
    <row r="5" spans="1:2" x14ac:dyDescent="0.2">
      <c r="A5" t="s">
        <v>5</v>
      </c>
      <c r="B5">
        <v>162</v>
      </c>
    </row>
    <row r="6" spans="1:2" x14ac:dyDescent="0.2">
      <c r="A6" t="s">
        <v>6</v>
      </c>
      <c r="B6">
        <v>157.5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47FB2-A316-E042-9CB5-0BA1037B0801}">
  <dimension ref="A1:B11"/>
  <sheetViews>
    <sheetView workbookViewId="0">
      <selection activeCell="K42" sqref="K42"/>
    </sheetView>
  </sheetViews>
  <sheetFormatPr baseColWidth="10" defaultRowHeight="16" x14ac:dyDescent="0.2"/>
  <cols>
    <col min="1" max="1" width="17.1640625" bestFit="1" customWidth="1"/>
    <col min="2" max="2" width="15.83203125" customWidth="1"/>
  </cols>
  <sheetData>
    <row r="1" spans="1:2" x14ac:dyDescent="0.2">
      <c r="A1" t="s">
        <v>7</v>
      </c>
      <c r="B1" t="s">
        <v>8</v>
      </c>
    </row>
    <row r="2" spans="1:2" x14ac:dyDescent="0.2">
      <c r="A2" t="s">
        <v>9</v>
      </c>
      <c r="B2">
        <v>91.5</v>
      </c>
    </row>
    <row r="3" spans="1:2" x14ac:dyDescent="0.2">
      <c r="A3" t="s">
        <v>10</v>
      </c>
      <c r="B3">
        <v>89.85</v>
      </c>
    </row>
    <row r="4" spans="1:2" x14ac:dyDescent="0.2">
      <c r="A4" t="s">
        <v>11</v>
      </c>
      <c r="B4">
        <v>87</v>
      </c>
    </row>
    <row r="5" spans="1:2" x14ac:dyDescent="0.2">
      <c r="A5" t="s">
        <v>12</v>
      </c>
      <c r="B5">
        <v>86.1</v>
      </c>
    </row>
    <row r="6" spans="1:2" x14ac:dyDescent="0.2">
      <c r="A6" t="s">
        <v>13</v>
      </c>
      <c r="B6">
        <v>78.599999999999994</v>
      </c>
    </row>
    <row r="7" spans="1:2" x14ac:dyDescent="0.2">
      <c r="A7" t="s">
        <v>14</v>
      </c>
      <c r="B7">
        <v>73.5</v>
      </c>
    </row>
    <row r="8" spans="1:2" x14ac:dyDescent="0.2">
      <c r="A8" t="s">
        <v>15</v>
      </c>
      <c r="B8">
        <v>72.75</v>
      </c>
    </row>
    <row r="9" spans="1:2" x14ac:dyDescent="0.2">
      <c r="A9" t="s">
        <v>16</v>
      </c>
      <c r="B9">
        <v>72.599999999999994</v>
      </c>
    </row>
    <row r="10" spans="1:2" x14ac:dyDescent="0.2">
      <c r="A10" t="s">
        <v>17</v>
      </c>
      <c r="B10">
        <v>70.5</v>
      </c>
    </row>
    <row r="11" spans="1:2" x14ac:dyDescent="0.2">
      <c r="A11" t="s">
        <v>18</v>
      </c>
      <c r="B11">
        <v>69.75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01372-580C-A544-84E1-01A28A306BD1}">
  <dimension ref="A1:C26"/>
  <sheetViews>
    <sheetView workbookViewId="0">
      <selection activeCell="F6" sqref="F6"/>
    </sheetView>
  </sheetViews>
  <sheetFormatPr baseColWidth="10" defaultRowHeight="16" x14ac:dyDescent="0.2"/>
  <cols>
    <col min="1" max="1" width="12.5" bestFit="1" customWidth="1"/>
    <col min="2" max="2" width="14.83203125" bestFit="1" customWidth="1"/>
    <col min="3" max="3" width="14.1640625" bestFit="1" customWidth="1"/>
  </cols>
  <sheetData>
    <row r="1" spans="1:3" x14ac:dyDescent="0.2">
      <c r="A1" t="s">
        <v>19</v>
      </c>
      <c r="B1" t="s">
        <v>20</v>
      </c>
      <c r="C1" t="s">
        <v>21</v>
      </c>
    </row>
    <row r="2" spans="1:3" x14ac:dyDescent="0.2">
      <c r="A2" s="1">
        <v>46024</v>
      </c>
      <c r="B2">
        <v>61.35</v>
      </c>
      <c r="C2" t="s">
        <v>22</v>
      </c>
    </row>
    <row r="3" spans="1:3" x14ac:dyDescent="0.2">
      <c r="A3" s="1">
        <v>46025</v>
      </c>
      <c r="B3">
        <v>68.849999999999994</v>
      </c>
      <c r="C3" t="s">
        <v>23</v>
      </c>
    </row>
    <row r="4" spans="1:3" x14ac:dyDescent="0.2">
      <c r="A4" s="1">
        <v>46026</v>
      </c>
      <c r="B4">
        <v>46.5</v>
      </c>
      <c r="C4" t="s">
        <v>24</v>
      </c>
    </row>
    <row r="5" spans="1:3" x14ac:dyDescent="0.2">
      <c r="A5" s="1">
        <v>46027</v>
      </c>
      <c r="B5">
        <v>83.1</v>
      </c>
      <c r="C5" t="s">
        <v>25</v>
      </c>
    </row>
    <row r="6" spans="1:3" x14ac:dyDescent="0.2">
      <c r="A6" s="1">
        <v>46028</v>
      </c>
      <c r="B6">
        <v>62.25</v>
      </c>
      <c r="C6" t="s">
        <v>26</v>
      </c>
    </row>
    <row r="7" spans="1:3" x14ac:dyDescent="0.2">
      <c r="A7" s="1">
        <v>46029</v>
      </c>
      <c r="B7">
        <v>39.75</v>
      </c>
      <c r="C7" t="s">
        <v>27</v>
      </c>
    </row>
    <row r="8" spans="1:3" x14ac:dyDescent="0.2">
      <c r="A8" s="1">
        <v>46030</v>
      </c>
      <c r="B8">
        <v>81.599999999999994</v>
      </c>
      <c r="C8" t="s">
        <v>28</v>
      </c>
    </row>
    <row r="9" spans="1:3" x14ac:dyDescent="0.2">
      <c r="A9" s="1">
        <v>46031</v>
      </c>
      <c r="B9">
        <v>50.25</v>
      </c>
      <c r="C9" t="s">
        <v>22</v>
      </c>
    </row>
    <row r="10" spans="1:3" x14ac:dyDescent="0.2">
      <c r="A10" s="1">
        <v>46032</v>
      </c>
      <c r="B10">
        <v>65.25</v>
      </c>
      <c r="C10" t="s">
        <v>23</v>
      </c>
    </row>
    <row r="11" spans="1:3" x14ac:dyDescent="0.2">
      <c r="A11" s="1">
        <v>46033</v>
      </c>
      <c r="B11">
        <v>62.25</v>
      </c>
      <c r="C11" t="s">
        <v>24</v>
      </c>
    </row>
    <row r="12" spans="1:3" x14ac:dyDescent="0.2">
      <c r="A12" s="1">
        <v>46034</v>
      </c>
      <c r="B12">
        <v>60.75</v>
      </c>
      <c r="C12" t="s">
        <v>25</v>
      </c>
    </row>
    <row r="13" spans="1:3" x14ac:dyDescent="0.2">
      <c r="A13" s="1">
        <v>46035</v>
      </c>
      <c r="B13">
        <v>71.25</v>
      </c>
      <c r="C13" t="s">
        <v>26</v>
      </c>
    </row>
    <row r="14" spans="1:3" x14ac:dyDescent="0.2">
      <c r="A14" s="1">
        <v>46036</v>
      </c>
      <c r="B14">
        <v>53.25</v>
      </c>
      <c r="C14" t="s">
        <v>27</v>
      </c>
    </row>
    <row r="15" spans="1:3" x14ac:dyDescent="0.2">
      <c r="A15" s="1">
        <v>46037</v>
      </c>
      <c r="B15">
        <v>81.75</v>
      </c>
      <c r="C15" t="s">
        <v>28</v>
      </c>
    </row>
    <row r="16" spans="1:3" x14ac:dyDescent="0.2">
      <c r="A16" s="1">
        <v>46038</v>
      </c>
      <c r="B16">
        <v>64.5</v>
      </c>
      <c r="C16" t="s">
        <v>22</v>
      </c>
    </row>
    <row r="17" spans="1:3" x14ac:dyDescent="0.2">
      <c r="A17" s="1">
        <v>46039</v>
      </c>
      <c r="B17">
        <v>63.75</v>
      </c>
      <c r="C17" t="s">
        <v>23</v>
      </c>
    </row>
    <row r="18" spans="1:3" x14ac:dyDescent="0.2">
      <c r="A18" s="1">
        <v>46040</v>
      </c>
      <c r="B18">
        <v>59.25</v>
      </c>
      <c r="C18" t="s">
        <v>24</v>
      </c>
    </row>
    <row r="19" spans="1:3" x14ac:dyDescent="0.2">
      <c r="A19" s="1">
        <v>46041</v>
      </c>
      <c r="B19">
        <v>74.25</v>
      </c>
      <c r="C19" t="s">
        <v>25</v>
      </c>
    </row>
    <row r="20" spans="1:3" x14ac:dyDescent="0.2">
      <c r="A20" s="1">
        <v>46042</v>
      </c>
      <c r="B20">
        <v>52.5</v>
      </c>
      <c r="C20" t="s">
        <v>26</v>
      </c>
    </row>
    <row r="21" spans="1:3" x14ac:dyDescent="0.2">
      <c r="A21" s="1">
        <v>46043</v>
      </c>
      <c r="B21">
        <v>78</v>
      </c>
      <c r="C21" t="s">
        <v>27</v>
      </c>
    </row>
    <row r="22" spans="1:3" x14ac:dyDescent="0.2">
      <c r="A22" s="1">
        <v>46054</v>
      </c>
      <c r="B22">
        <v>63.75</v>
      </c>
      <c r="C22" t="s">
        <v>24</v>
      </c>
    </row>
    <row r="23" spans="1:3" x14ac:dyDescent="0.2">
      <c r="A23" s="1">
        <v>46055</v>
      </c>
      <c r="B23">
        <v>67.5</v>
      </c>
      <c r="C23" t="s">
        <v>25</v>
      </c>
    </row>
    <row r="24" spans="1:3" x14ac:dyDescent="0.2">
      <c r="A24" s="1">
        <v>46056</v>
      </c>
      <c r="B24">
        <v>54</v>
      </c>
      <c r="C24" t="s">
        <v>26</v>
      </c>
    </row>
    <row r="25" spans="1:3" x14ac:dyDescent="0.2">
      <c r="A25" s="1">
        <v>46057</v>
      </c>
      <c r="B25">
        <v>75.75</v>
      </c>
      <c r="C25" t="s">
        <v>27</v>
      </c>
    </row>
    <row r="26" spans="1:3" x14ac:dyDescent="0.2">
      <c r="A26" s="1">
        <v>46058</v>
      </c>
      <c r="B26">
        <v>68.25</v>
      </c>
      <c r="C26" t="s">
        <v>28</v>
      </c>
    </row>
  </sheetData>
  <pageMargins left="0.7" right="0.7" top="0.75" bottom="0.75" header="0.3" footer="0.3"/>
  <pageSetup orientation="portrait" horizontalDpi="0" verticalDpi="0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97CBB-2543-DF43-9E7F-253F49D94199}">
  <dimension ref="A1:B5"/>
  <sheetViews>
    <sheetView workbookViewId="0">
      <selection activeCell="E4" sqref="E4"/>
    </sheetView>
  </sheetViews>
  <sheetFormatPr baseColWidth="10" defaultRowHeight="16" x14ac:dyDescent="0.2"/>
  <cols>
    <col min="2" max="2" width="17.33203125" bestFit="1" customWidth="1"/>
  </cols>
  <sheetData>
    <row r="1" spans="1:2" x14ac:dyDescent="0.2">
      <c r="A1" t="s">
        <v>29</v>
      </c>
      <c r="B1" t="s">
        <v>30</v>
      </c>
    </row>
    <row r="2" spans="1:2" x14ac:dyDescent="0.2">
      <c r="A2" t="s">
        <v>31</v>
      </c>
      <c r="B2">
        <v>619.5</v>
      </c>
    </row>
    <row r="3" spans="1:2" x14ac:dyDescent="0.2">
      <c r="A3" t="s">
        <v>32</v>
      </c>
      <c r="B3">
        <v>459.15</v>
      </c>
    </row>
    <row r="4" spans="1:2" x14ac:dyDescent="0.2">
      <c r="A4" t="s">
        <v>33</v>
      </c>
      <c r="B4">
        <v>428.25</v>
      </c>
    </row>
    <row r="5" spans="1:2" x14ac:dyDescent="0.2">
      <c r="A5" t="s">
        <v>34</v>
      </c>
      <c r="B5">
        <v>189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B2F4B-DF3A-6C4E-9CE8-5824B4CCEF7D}">
  <dimension ref="A1:C31"/>
  <sheetViews>
    <sheetView workbookViewId="0">
      <selection activeCell="G10" sqref="G10"/>
    </sheetView>
  </sheetViews>
  <sheetFormatPr baseColWidth="10" defaultRowHeight="16" x14ac:dyDescent="0.2"/>
  <cols>
    <col min="1" max="1" width="17.1640625" bestFit="1" customWidth="1"/>
    <col min="2" max="2" width="13.5" bestFit="1" customWidth="1"/>
    <col min="3" max="3" width="11.6640625" bestFit="1" customWidth="1"/>
  </cols>
  <sheetData>
    <row r="1" spans="1:3" x14ac:dyDescent="0.2">
      <c r="A1" t="s">
        <v>7</v>
      </c>
      <c r="B1" t="s">
        <v>35</v>
      </c>
      <c r="C1" t="s">
        <v>36</v>
      </c>
    </row>
    <row r="2" spans="1:3" x14ac:dyDescent="0.2">
      <c r="A2" t="s">
        <v>11</v>
      </c>
      <c r="B2">
        <v>9</v>
      </c>
      <c r="C2">
        <v>9.67</v>
      </c>
    </row>
    <row r="3" spans="1:3" x14ac:dyDescent="0.2">
      <c r="A3" t="s">
        <v>15</v>
      </c>
      <c r="B3">
        <v>6</v>
      </c>
      <c r="C3">
        <v>12.13</v>
      </c>
    </row>
    <row r="4" spans="1:3" x14ac:dyDescent="0.2">
      <c r="A4" t="s">
        <v>37</v>
      </c>
      <c r="B4">
        <v>6</v>
      </c>
      <c r="C4">
        <v>10.38</v>
      </c>
    </row>
    <row r="5" spans="1:3" x14ac:dyDescent="0.2">
      <c r="A5" t="s">
        <v>38</v>
      </c>
      <c r="B5">
        <v>6</v>
      </c>
      <c r="C5">
        <v>5.25</v>
      </c>
    </row>
    <row r="6" spans="1:3" x14ac:dyDescent="0.2">
      <c r="A6" t="s">
        <v>10</v>
      </c>
      <c r="B6">
        <v>6</v>
      </c>
      <c r="C6">
        <v>14.98</v>
      </c>
    </row>
    <row r="7" spans="1:3" x14ac:dyDescent="0.2">
      <c r="A7" t="s">
        <v>39</v>
      </c>
      <c r="B7">
        <v>6</v>
      </c>
      <c r="C7">
        <v>8.25</v>
      </c>
    </row>
    <row r="8" spans="1:3" x14ac:dyDescent="0.2">
      <c r="A8" t="s">
        <v>17</v>
      </c>
      <c r="B8">
        <v>6</v>
      </c>
      <c r="C8">
        <v>11.75</v>
      </c>
    </row>
    <row r="9" spans="1:3" x14ac:dyDescent="0.2">
      <c r="A9" t="s">
        <v>9</v>
      </c>
      <c r="B9">
        <v>6</v>
      </c>
      <c r="C9">
        <v>15.25</v>
      </c>
    </row>
    <row r="10" spans="1:3" x14ac:dyDescent="0.2">
      <c r="A10" t="s">
        <v>40</v>
      </c>
      <c r="B10">
        <v>6</v>
      </c>
      <c r="C10">
        <v>10</v>
      </c>
    </row>
    <row r="11" spans="1:3" x14ac:dyDescent="0.2">
      <c r="A11" t="s">
        <v>18</v>
      </c>
      <c r="B11">
        <v>6</v>
      </c>
      <c r="C11">
        <v>11.63</v>
      </c>
    </row>
    <row r="12" spans="1:3" x14ac:dyDescent="0.2">
      <c r="A12" t="s">
        <v>41</v>
      </c>
      <c r="B12">
        <v>6</v>
      </c>
      <c r="C12">
        <v>9.8800000000000008</v>
      </c>
    </row>
    <row r="13" spans="1:3" x14ac:dyDescent="0.2">
      <c r="A13" t="s">
        <v>13</v>
      </c>
      <c r="B13">
        <v>6</v>
      </c>
      <c r="C13">
        <v>13.1</v>
      </c>
    </row>
    <row r="14" spans="1:3" x14ac:dyDescent="0.2">
      <c r="A14" t="s">
        <v>42</v>
      </c>
      <c r="B14">
        <v>6</v>
      </c>
      <c r="C14">
        <v>8.25</v>
      </c>
    </row>
    <row r="15" spans="1:3" x14ac:dyDescent="0.2">
      <c r="A15" t="s">
        <v>12</v>
      </c>
      <c r="B15">
        <v>6</v>
      </c>
      <c r="C15">
        <v>14.35</v>
      </c>
    </row>
    <row r="16" spans="1:3" x14ac:dyDescent="0.2">
      <c r="A16" t="s">
        <v>43</v>
      </c>
      <c r="B16">
        <v>6</v>
      </c>
      <c r="C16">
        <v>9.6300000000000008</v>
      </c>
    </row>
    <row r="17" spans="1:3" x14ac:dyDescent="0.2">
      <c r="A17" t="s">
        <v>16</v>
      </c>
      <c r="B17">
        <v>6</v>
      </c>
      <c r="C17">
        <v>12.1</v>
      </c>
    </row>
    <row r="18" spans="1:3" x14ac:dyDescent="0.2">
      <c r="A18" t="s">
        <v>14</v>
      </c>
      <c r="B18">
        <v>6</v>
      </c>
      <c r="C18">
        <v>12.25</v>
      </c>
    </row>
    <row r="19" spans="1:3" x14ac:dyDescent="0.2">
      <c r="A19" t="s">
        <v>44</v>
      </c>
      <c r="B19">
        <v>6</v>
      </c>
      <c r="C19">
        <v>10.63</v>
      </c>
    </row>
    <row r="20" spans="1:3" x14ac:dyDescent="0.2">
      <c r="A20" t="s">
        <v>45</v>
      </c>
      <c r="B20">
        <v>6</v>
      </c>
      <c r="C20">
        <v>10.25</v>
      </c>
    </row>
    <row r="21" spans="1:3" x14ac:dyDescent="0.2">
      <c r="A21" t="s">
        <v>46</v>
      </c>
      <c r="B21">
        <v>3</v>
      </c>
      <c r="C21">
        <v>8.25</v>
      </c>
    </row>
    <row r="22" spans="1:3" x14ac:dyDescent="0.2">
      <c r="A22" t="s">
        <v>47</v>
      </c>
      <c r="B22">
        <v>3</v>
      </c>
      <c r="C22">
        <v>6.5</v>
      </c>
    </row>
    <row r="23" spans="1:3" x14ac:dyDescent="0.2">
      <c r="A23" t="s">
        <v>48</v>
      </c>
      <c r="B23">
        <v>3</v>
      </c>
      <c r="C23">
        <v>11.5</v>
      </c>
    </row>
    <row r="24" spans="1:3" x14ac:dyDescent="0.2">
      <c r="A24" t="s">
        <v>49</v>
      </c>
      <c r="B24">
        <v>3</v>
      </c>
      <c r="C24">
        <v>12.75</v>
      </c>
    </row>
    <row r="25" spans="1:3" x14ac:dyDescent="0.2">
      <c r="A25" t="s">
        <v>50</v>
      </c>
      <c r="B25">
        <v>3</v>
      </c>
      <c r="C25">
        <v>6.75</v>
      </c>
    </row>
    <row r="26" spans="1:3" x14ac:dyDescent="0.2">
      <c r="A26" t="s">
        <v>51</v>
      </c>
      <c r="B26">
        <v>3</v>
      </c>
      <c r="C26">
        <v>10</v>
      </c>
    </row>
    <row r="27" spans="1:3" x14ac:dyDescent="0.2">
      <c r="A27" t="s">
        <v>52</v>
      </c>
      <c r="B27">
        <v>3</v>
      </c>
      <c r="C27">
        <v>5</v>
      </c>
    </row>
    <row r="28" spans="1:3" x14ac:dyDescent="0.2">
      <c r="A28" t="s">
        <v>53</v>
      </c>
      <c r="B28">
        <v>3</v>
      </c>
      <c r="C28">
        <v>9.75</v>
      </c>
    </row>
    <row r="29" spans="1:3" x14ac:dyDescent="0.2">
      <c r="A29" t="s">
        <v>54</v>
      </c>
      <c r="B29">
        <v>3</v>
      </c>
      <c r="C29">
        <v>7</v>
      </c>
    </row>
    <row r="30" spans="1:3" x14ac:dyDescent="0.2">
      <c r="A30" t="s">
        <v>55</v>
      </c>
      <c r="B30">
        <v>3</v>
      </c>
      <c r="C30">
        <v>15.5</v>
      </c>
    </row>
    <row r="31" spans="1:3" x14ac:dyDescent="0.2">
      <c r="A31" t="s">
        <v>56</v>
      </c>
      <c r="B31">
        <v>3</v>
      </c>
      <c r="C31">
        <v>14.5</v>
      </c>
    </row>
  </sheetData>
  <pageMargins left="0.7" right="0.7" top="0.75" bottom="0.75" header="0.3" footer="0.3"/>
  <pageSetup orientation="portrait" horizontalDpi="0" verticalDpi="0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D1306-A498-4E4E-A468-907AAEC7DEBE}">
  <dimension ref="A1:C11"/>
  <sheetViews>
    <sheetView workbookViewId="0">
      <selection activeCell="L36" sqref="L36"/>
    </sheetView>
  </sheetViews>
  <sheetFormatPr baseColWidth="10" defaultRowHeight="16" x14ac:dyDescent="0.2"/>
  <cols>
    <col min="1" max="1" width="13.1640625" bestFit="1" customWidth="1"/>
    <col min="2" max="2" width="14.83203125" bestFit="1" customWidth="1"/>
    <col min="3" max="3" width="12.5" bestFit="1" customWidth="1"/>
  </cols>
  <sheetData>
    <row r="1" spans="1:3" x14ac:dyDescent="0.2">
      <c r="A1" t="s">
        <v>57</v>
      </c>
      <c r="B1" t="s">
        <v>1</v>
      </c>
      <c r="C1" t="s">
        <v>58</v>
      </c>
    </row>
    <row r="2" spans="1:3" x14ac:dyDescent="0.2">
      <c r="A2" s="2">
        <v>0.29166666666666669</v>
      </c>
      <c r="B2">
        <v>135</v>
      </c>
      <c r="C2">
        <v>5</v>
      </c>
    </row>
    <row r="3" spans="1:3" x14ac:dyDescent="0.2">
      <c r="A3" s="2">
        <v>0.33333333333333331</v>
      </c>
      <c r="B3">
        <v>274.5</v>
      </c>
      <c r="C3">
        <v>11</v>
      </c>
    </row>
    <row r="4" spans="1:3" x14ac:dyDescent="0.2">
      <c r="A4" s="2">
        <v>0.375</v>
      </c>
      <c r="B4">
        <v>300.75</v>
      </c>
      <c r="C4">
        <v>10</v>
      </c>
    </row>
    <row r="5" spans="1:3" x14ac:dyDescent="0.2">
      <c r="A5" s="2">
        <v>0.41666666666666669</v>
      </c>
      <c r="B5">
        <v>187.95</v>
      </c>
      <c r="C5">
        <v>4</v>
      </c>
    </row>
    <row r="6" spans="1:3" x14ac:dyDescent="0.2">
      <c r="A6" s="2">
        <v>0.45833333333333331</v>
      </c>
      <c r="B6">
        <v>167.7</v>
      </c>
      <c r="C6">
        <v>4</v>
      </c>
    </row>
    <row r="7" spans="1:3" x14ac:dyDescent="0.2">
      <c r="A7" s="2">
        <v>0.5</v>
      </c>
      <c r="B7">
        <v>130.35</v>
      </c>
      <c r="C7">
        <v>3</v>
      </c>
    </row>
    <row r="8" spans="1:3" x14ac:dyDescent="0.2">
      <c r="A8" s="2">
        <v>0.54166666666666663</v>
      </c>
      <c r="B8">
        <v>184.35</v>
      </c>
      <c r="C8">
        <v>4</v>
      </c>
    </row>
    <row r="9" spans="1:3" x14ac:dyDescent="0.2">
      <c r="A9" s="2">
        <v>0.58333333333333337</v>
      </c>
      <c r="B9">
        <v>186.45</v>
      </c>
      <c r="C9">
        <v>5</v>
      </c>
    </row>
    <row r="10" spans="1:3" x14ac:dyDescent="0.2">
      <c r="A10" s="2">
        <v>0.625</v>
      </c>
      <c r="B10">
        <v>84</v>
      </c>
      <c r="C10">
        <v>3</v>
      </c>
    </row>
    <row r="11" spans="1:3" x14ac:dyDescent="0.2">
      <c r="A11" s="2">
        <v>0.66666666666666663</v>
      </c>
      <c r="B11">
        <v>44.85</v>
      </c>
      <c r="C11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7D93A-A65B-964E-A6A5-8FECE8D21F8B}">
  <dimension ref="A1:D41"/>
  <sheetViews>
    <sheetView workbookViewId="0">
      <selection activeCell="C2" sqref="C2:D6"/>
    </sheetView>
  </sheetViews>
  <sheetFormatPr baseColWidth="10" defaultRowHeight="16" x14ac:dyDescent="0.2"/>
  <cols>
    <col min="1" max="2" width="22.1640625" bestFit="1" customWidth="1"/>
    <col min="3" max="3" width="23" bestFit="1" customWidth="1"/>
    <col min="4" max="4" width="45.6640625" customWidth="1"/>
  </cols>
  <sheetData>
    <row r="1" spans="1:4" x14ac:dyDescent="0.2">
      <c r="A1" t="s">
        <v>59</v>
      </c>
      <c r="B1" t="s">
        <v>60</v>
      </c>
      <c r="C1" t="s">
        <v>61</v>
      </c>
      <c r="D1" t="s">
        <v>71</v>
      </c>
    </row>
    <row r="2" spans="1:4" x14ac:dyDescent="0.2">
      <c r="A2" t="s">
        <v>2</v>
      </c>
      <c r="B2" t="s">
        <v>4</v>
      </c>
      <c r="C2">
        <v>72</v>
      </c>
      <c r="D2" t="str">
        <f t="shared" ref="D2:D41" si="0">A2&amp;" + "&amp;B2</f>
        <v>Turkey Sandwich + Iced Tea</v>
      </c>
    </row>
    <row r="3" spans="1:4" x14ac:dyDescent="0.2">
      <c r="A3" t="s">
        <v>62</v>
      </c>
      <c r="B3" t="s">
        <v>4</v>
      </c>
      <c r="C3">
        <v>54</v>
      </c>
      <c r="D3" t="str">
        <f t="shared" si="0"/>
        <v>Cold Brew + Iced Tea</v>
      </c>
    </row>
    <row r="4" spans="1:4" x14ac:dyDescent="0.2">
      <c r="A4" t="s">
        <v>5</v>
      </c>
      <c r="B4" t="s">
        <v>63</v>
      </c>
      <c r="C4">
        <v>54</v>
      </c>
      <c r="D4" t="str">
        <f t="shared" si="0"/>
        <v>Latte + Chocolate Chip Cookie</v>
      </c>
    </row>
    <row r="5" spans="1:4" x14ac:dyDescent="0.2">
      <c r="A5" t="s">
        <v>64</v>
      </c>
      <c r="B5" t="s">
        <v>65</v>
      </c>
      <c r="C5">
        <v>54</v>
      </c>
      <c r="D5" t="str">
        <f t="shared" si="0"/>
        <v>Mocha + Blueberry Muffin</v>
      </c>
    </row>
    <row r="6" spans="1:4" x14ac:dyDescent="0.2">
      <c r="A6" t="s">
        <v>6</v>
      </c>
      <c r="B6" t="s">
        <v>4</v>
      </c>
      <c r="C6">
        <v>54</v>
      </c>
      <c r="D6" t="str">
        <f t="shared" si="0"/>
        <v>Caramel Macchiato + Iced Tea</v>
      </c>
    </row>
    <row r="7" spans="1:4" x14ac:dyDescent="0.2">
      <c r="A7" t="s">
        <v>65</v>
      </c>
      <c r="B7" t="s">
        <v>4</v>
      </c>
      <c r="C7">
        <v>54</v>
      </c>
      <c r="D7" t="str">
        <f t="shared" si="0"/>
        <v>Blueberry Muffin + Iced Tea</v>
      </c>
    </row>
    <row r="8" spans="1:4" x14ac:dyDescent="0.2">
      <c r="A8" t="s">
        <v>62</v>
      </c>
      <c r="B8" t="s">
        <v>2</v>
      </c>
      <c r="C8">
        <v>54</v>
      </c>
      <c r="D8" t="str">
        <f t="shared" si="0"/>
        <v>Cold Brew + Turkey Sandwich</v>
      </c>
    </row>
    <row r="9" spans="1:4" x14ac:dyDescent="0.2">
      <c r="A9" t="s">
        <v>5</v>
      </c>
      <c r="B9" t="s">
        <v>66</v>
      </c>
      <c r="C9">
        <v>45</v>
      </c>
      <c r="D9" t="str">
        <f t="shared" si="0"/>
        <v>Latte + Croissant</v>
      </c>
    </row>
    <row r="10" spans="1:4" x14ac:dyDescent="0.2">
      <c r="A10" t="s">
        <v>65</v>
      </c>
      <c r="B10" t="s">
        <v>63</v>
      </c>
      <c r="C10">
        <v>45</v>
      </c>
      <c r="D10" t="str">
        <f t="shared" si="0"/>
        <v>Blueberry Muffin + Chocolate Chip Cookie</v>
      </c>
    </row>
    <row r="11" spans="1:4" x14ac:dyDescent="0.2">
      <c r="A11" t="s">
        <v>3</v>
      </c>
      <c r="B11" t="s">
        <v>4</v>
      </c>
      <c r="C11">
        <v>45</v>
      </c>
      <c r="D11" t="str">
        <f t="shared" si="0"/>
        <v>Caesar Salad + Iced Tea</v>
      </c>
    </row>
    <row r="12" spans="1:4" x14ac:dyDescent="0.2">
      <c r="A12" t="s">
        <v>63</v>
      </c>
      <c r="B12" t="s">
        <v>4</v>
      </c>
      <c r="C12">
        <v>36</v>
      </c>
      <c r="D12" t="str">
        <f t="shared" si="0"/>
        <v>Chocolate Chip Cookie + Iced Tea</v>
      </c>
    </row>
    <row r="13" spans="1:4" x14ac:dyDescent="0.2">
      <c r="A13" t="s">
        <v>6</v>
      </c>
      <c r="B13" t="s">
        <v>66</v>
      </c>
      <c r="C13">
        <v>36</v>
      </c>
      <c r="D13" t="str">
        <f t="shared" si="0"/>
        <v>Caramel Macchiato + Croissant</v>
      </c>
    </row>
    <row r="14" spans="1:4" x14ac:dyDescent="0.2">
      <c r="A14" t="s">
        <v>63</v>
      </c>
      <c r="B14" t="s">
        <v>67</v>
      </c>
      <c r="C14">
        <v>36</v>
      </c>
      <c r="D14" t="str">
        <f t="shared" si="0"/>
        <v>Chocolate Chip Cookie + Banana Bread</v>
      </c>
    </row>
    <row r="15" spans="1:4" x14ac:dyDescent="0.2">
      <c r="A15" t="s">
        <v>64</v>
      </c>
      <c r="B15" t="s">
        <v>63</v>
      </c>
      <c r="C15">
        <v>27</v>
      </c>
      <c r="D15" t="str">
        <f t="shared" si="0"/>
        <v>Mocha + Chocolate Chip Cookie</v>
      </c>
    </row>
    <row r="16" spans="1:4" x14ac:dyDescent="0.2">
      <c r="A16" t="s">
        <v>6</v>
      </c>
      <c r="B16" t="s">
        <v>3</v>
      </c>
      <c r="C16">
        <v>27</v>
      </c>
      <c r="D16" t="str">
        <f t="shared" si="0"/>
        <v>Caramel Macchiato + Caesar Salad</v>
      </c>
    </row>
    <row r="17" spans="1:4" x14ac:dyDescent="0.2">
      <c r="A17" t="s">
        <v>63</v>
      </c>
      <c r="B17" t="s">
        <v>3</v>
      </c>
      <c r="C17">
        <v>27</v>
      </c>
      <c r="D17" t="str">
        <f t="shared" si="0"/>
        <v>Chocolate Chip Cookie + Caesar Salad</v>
      </c>
    </row>
    <row r="18" spans="1:4" x14ac:dyDescent="0.2">
      <c r="A18" t="s">
        <v>63</v>
      </c>
      <c r="B18" t="s">
        <v>68</v>
      </c>
      <c r="C18">
        <v>27</v>
      </c>
      <c r="D18" t="str">
        <f t="shared" si="0"/>
        <v>Chocolate Chip Cookie + Bagel with Cream Cheese</v>
      </c>
    </row>
    <row r="19" spans="1:4" x14ac:dyDescent="0.2">
      <c r="A19" t="s">
        <v>64</v>
      </c>
      <c r="B19" t="s">
        <v>4</v>
      </c>
      <c r="C19">
        <v>27</v>
      </c>
      <c r="D19" t="str">
        <f t="shared" si="0"/>
        <v>Mocha + Iced Tea</v>
      </c>
    </row>
    <row r="20" spans="1:4" x14ac:dyDescent="0.2">
      <c r="A20" t="s">
        <v>5</v>
      </c>
      <c r="B20" t="s">
        <v>67</v>
      </c>
      <c r="C20">
        <v>27</v>
      </c>
      <c r="D20" t="str">
        <f t="shared" si="0"/>
        <v>Latte + Banana Bread</v>
      </c>
    </row>
    <row r="21" spans="1:4" x14ac:dyDescent="0.2">
      <c r="A21" t="s">
        <v>69</v>
      </c>
      <c r="B21" t="s">
        <v>65</v>
      </c>
      <c r="C21">
        <v>18</v>
      </c>
      <c r="D21" t="str">
        <f t="shared" si="0"/>
        <v>Cappuccino + Blueberry Muffin</v>
      </c>
    </row>
    <row r="22" spans="1:4" x14ac:dyDescent="0.2">
      <c r="A22" t="s">
        <v>69</v>
      </c>
      <c r="B22" t="s">
        <v>4</v>
      </c>
      <c r="C22">
        <v>18</v>
      </c>
      <c r="D22" t="str">
        <f t="shared" si="0"/>
        <v>Cappuccino + Iced Tea</v>
      </c>
    </row>
    <row r="23" spans="1:4" x14ac:dyDescent="0.2">
      <c r="A23" t="s">
        <v>64</v>
      </c>
      <c r="B23" t="s">
        <v>67</v>
      </c>
      <c r="C23">
        <v>18</v>
      </c>
      <c r="D23" t="str">
        <f t="shared" si="0"/>
        <v>Mocha + Banana Bread</v>
      </c>
    </row>
    <row r="24" spans="1:4" x14ac:dyDescent="0.2">
      <c r="A24" t="s">
        <v>65</v>
      </c>
      <c r="B24" t="s">
        <v>3</v>
      </c>
      <c r="C24">
        <v>18</v>
      </c>
      <c r="D24" t="str">
        <f t="shared" si="0"/>
        <v>Blueberry Muffin + Caesar Salad</v>
      </c>
    </row>
    <row r="25" spans="1:4" x14ac:dyDescent="0.2">
      <c r="A25" t="s">
        <v>70</v>
      </c>
      <c r="B25" t="s">
        <v>66</v>
      </c>
      <c r="C25">
        <v>18</v>
      </c>
      <c r="D25" t="str">
        <f t="shared" si="0"/>
        <v>Americano + Croissant</v>
      </c>
    </row>
    <row r="26" spans="1:4" x14ac:dyDescent="0.2">
      <c r="A26" t="s">
        <v>6</v>
      </c>
      <c r="B26" t="s">
        <v>63</v>
      </c>
      <c r="C26">
        <v>18</v>
      </c>
      <c r="D26" t="str">
        <f t="shared" si="0"/>
        <v>Caramel Macchiato + Chocolate Chip Cookie</v>
      </c>
    </row>
    <row r="27" spans="1:4" x14ac:dyDescent="0.2">
      <c r="A27" t="s">
        <v>68</v>
      </c>
      <c r="B27" t="s">
        <v>3</v>
      </c>
      <c r="C27">
        <v>18</v>
      </c>
      <c r="D27" t="str">
        <f t="shared" si="0"/>
        <v>Bagel with Cream Cheese + Caesar Salad</v>
      </c>
    </row>
    <row r="28" spans="1:4" x14ac:dyDescent="0.2">
      <c r="A28" t="s">
        <v>6</v>
      </c>
      <c r="B28" t="s">
        <v>65</v>
      </c>
      <c r="C28">
        <v>18</v>
      </c>
      <c r="D28" t="str">
        <f t="shared" si="0"/>
        <v>Caramel Macchiato + Blueberry Muffin</v>
      </c>
    </row>
    <row r="29" spans="1:4" x14ac:dyDescent="0.2">
      <c r="A29" t="s">
        <v>70</v>
      </c>
      <c r="B29" t="s">
        <v>63</v>
      </c>
      <c r="C29">
        <v>18</v>
      </c>
      <c r="D29" t="str">
        <f t="shared" si="0"/>
        <v>Americano + Chocolate Chip Cookie</v>
      </c>
    </row>
    <row r="30" spans="1:4" x14ac:dyDescent="0.2">
      <c r="A30" t="s">
        <v>5</v>
      </c>
      <c r="B30" t="s">
        <v>4</v>
      </c>
      <c r="C30">
        <v>18</v>
      </c>
      <c r="D30" t="str">
        <f t="shared" si="0"/>
        <v>Latte + Iced Tea</v>
      </c>
    </row>
    <row r="31" spans="1:4" x14ac:dyDescent="0.2">
      <c r="A31" t="s">
        <v>63</v>
      </c>
      <c r="B31" t="s">
        <v>2</v>
      </c>
      <c r="C31">
        <v>9</v>
      </c>
      <c r="D31" t="str">
        <f t="shared" si="0"/>
        <v>Chocolate Chip Cookie + Turkey Sandwich</v>
      </c>
    </row>
    <row r="32" spans="1:4" x14ac:dyDescent="0.2">
      <c r="A32" t="s">
        <v>62</v>
      </c>
      <c r="B32" t="s">
        <v>63</v>
      </c>
      <c r="C32">
        <v>9</v>
      </c>
      <c r="D32" t="str">
        <f t="shared" si="0"/>
        <v>Cold Brew + Chocolate Chip Cookie</v>
      </c>
    </row>
    <row r="33" spans="1:4" x14ac:dyDescent="0.2">
      <c r="A33" t="s">
        <v>69</v>
      </c>
      <c r="B33" t="s">
        <v>63</v>
      </c>
      <c r="C33">
        <v>9</v>
      </c>
      <c r="D33" t="str">
        <f t="shared" si="0"/>
        <v>Cappuccino + Chocolate Chip Cookie</v>
      </c>
    </row>
    <row r="34" spans="1:4" x14ac:dyDescent="0.2">
      <c r="A34" t="s">
        <v>62</v>
      </c>
      <c r="B34" t="s">
        <v>3</v>
      </c>
      <c r="C34">
        <v>9</v>
      </c>
      <c r="D34" t="str">
        <f t="shared" si="0"/>
        <v>Cold Brew + Caesar Salad</v>
      </c>
    </row>
    <row r="35" spans="1:4" x14ac:dyDescent="0.2">
      <c r="A35" t="s">
        <v>6</v>
      </c>
      <c r="B35" t="s">
        <v>2</v>
      </c>
      <c r="C35">
        <v>9</v>
      </c>
      <c r="D35" t="str">
        <f t="shared" si="0"/>
        <v>Caramel Macchiato + Turkey Sandwich</v>
      </c>
    </row>
    <row r="36" spans="1:4" x14ac:dyDescent="0.2">
      <c r="A36" t="s">
        <v>65</v>
      </c>
      <c r="B36" t="s">
        <v>67</v>
      </c>
      <c r="C36">
        <v>9</v>
      </c>
      <c r="D36" t="str">
        <f t="shared" si="0"/>
        <v>Blueberry Muffin + Banana Bread</v>
      </c>
    </row>
    <row r="37" spans="1:4" x14ac:dyDescent="0.2">
      <c r="A37" t="s">
        <v>66</v>
      </c>
      <c r="B37" t="s">
        <v>63</v>
      </c>
      <c r="C37">
        <v>9</v>
      </c>
      <c r="D37" t="str">
        <f t="shared" si="0"/>
        <v>Croissant + Chocolate Chip Cookie</v>
      </c>
    </row>
    <row r="38" spans="1:4" x14ac:dyDescent="0.2">
      <c r="A38" t="s">
        <v>66</v>
      </c>
      <c r="B38" t="s">
        <v>4</v>
      </c>
      <c r="C38">
        <v>9</v>
      </c>
      <c r="D38" t="str">
        <f t="shared" si="0"/>
        <v>Croissant + Iced Tea</v>
      </c>
    </row>
    <row r="39" spans="1:4" x14ac:dyDescent="0.2">
      <c r="A39" t="s">
        <v>5</v>
      </c>
      <c r="B39" t="s">
        <v>68</v>
      </c>
      <c r="C39">
        <v>9</v>
      </c>
      <c r="D39" t="str">
        <f t="shared" si="0"/>
        <v>Latte + Bagel with Cream Cheese</v>
      </c>
    </row>
    <row r="40" spans="1:4" x14ac:dyDescent="0.2">
      <c r="A40" t="s">
        <v>2</v>
      </c>
      <c r="B40" t="s">
        <v>3</v>
      </c>
      <c r="C40">
        <v>9</v>
      </c>
      <c r="D40" t="str">
        <f t="shared" si="0"/>
        <v>Turkey Sandwich + Caesar Salad</v>
      </c>
    </row>
    <row r="41" spans="1:4" x14ac:dyDescent="0.2">
      <c r="A41" t="s">
        <v>67</v>
      </c>
      <c r="B41" t="s">
        <v>4</v>
      </c>
      <c r="C41">
        <v>9</v>
      </c>
      <c r="D41" t="str">
        <f t="shared" si="0"/>
        <v>Banana Bread + Iced Tea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3263BF-879F-0342-ACD7-A458119E19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Top_Products</vt:lpstr>
      <vt:lpstr>Top_Customers</vt:lpstr>
      <vt:lpstr>Daily_Revenue</vt:lpstr>
      <vt:lpstr>Category_Revenue</vt:lpstr>
      <vt:lpstr>Customer_Order_Frequency</vt:lpstr>
      <vt:lpstr>Peak_Hours</vt:lpstr>
      <vt:lpstr>product_pairs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olufunbi williams</dc:creator>
  <cp:lastModifiedBy>olufunbi williams</cp:lastModifiedBy>
  <dcterms:created xsi:type="dcterms:W3CDTF">2026-03-02T11:07:48Z</dcterms:created>
  <dcterms:modified xsi:type="dcterms:W3CDTF">2026-03-08T08:50:34Z</dcterms:modified>
</cp:coreProperties>
</file>